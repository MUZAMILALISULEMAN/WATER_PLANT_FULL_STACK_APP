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-Computer\Desktop\APP\backend\"/>
    </mc:Choice>
  </mc:AlternateContent>
  <xr:revisionPtr revIDLastSave="0" documentId="13_ncr:1_{43FAF7A6-3A8F-40FB-B790-017FE5F7C5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AN 26" sheetId="8" r:id="rId1"/>
    <sheet name="SEPEMBER" sheetId="1" r:id="rId2"/>
    <sheet name="BAKIA CUSTUMER" sheetId="2" r:id="rId3"/>
    <sheet name="OCTOBER" sheetId="3" r:id="rId4"/>
    <sheet name="NOVEMBER" sheetId="7" r:id="rId5"/>
    <sheet name="DEC 25" sheetId="5" r:id="rId6"/>
  </sheets>
  <definedNames>
    <definedName name="_xlnm._FilterDatabase" localSheetId="2" hidden="1">'BAKIA CUSTUMER'!$A$2:$AJ$2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2" i="8"/>
  <c r="B54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5" i="8"/>
  <c r="B56" i="8"/>
  <c r="B57" i="8"/>
  <c r="B58" i="8"/>
  <c r="B59" i="8"/>
  <c r="B60" i="8"/>
  <c r="B61" i="8"/>
  <c r="B62" i="8"/>
  <c r="H21" i="8"/>
  <c r="H26" i="8" l="1"/>
  <c r="H9" i="8"/>
  <c r="F44" i="8"/>
  <c r="H50" i="8"/>
  <c r="H3" i="8"/>
  <c r="F3" i="8"/>
  <c r="H4" i="8"/>
  <c r="H5" i="8"/>
  <c r="H6" i="8"/>
  <c r="H7" i="8"/>
  <c r="H8" i="8"/>
  <c r="H10" i="8"/>
  <c r="H11" i="8"/>
  <c r="H12" i="8"/>
  <c r="H13" i="8"/>
  <c r="H14" i="8"/>
  <c r="H15" i="8"/>
  <c r="H16" i="8"/>
  <c r="H17" i="8"/>
  <c r="H18" i="8"/>
  <c r="H19" i="8"/>
  <c r="H20" i="8"/>
  <c r="H22" i="8"/>
  <c r="H23" i="8"/>
  <c r="H24" i="8"/>
  <c r="H25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3" i="8"/>
  <c r="H44" i="8"/>
  <c r="H45" i="8"/>
  <c r="H46" i="8"/>
  <c r="H47" i="8"/>
  <c r="H48" i="8"/>
  <c r="H49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2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2" i="8"/>
  <c r="AN2" i="8" l="1"/>
  <c r="AH51" i="5"/>
  <c r="AI51" i="5" s="1"/>
  <c r="AG29" i="7" l="1"/>
  <c r="AG28" i="7"/>
  <c r="AG50" i="7"/>
  <c r="AH50" i="7" s="1"/>
  <c r="AG49" i="7"/>
  <c r="AH49" i="7" s="1"/>
  <c r="AG48" i="7"/>
  <c r="AH48" i="7" s="1"/>
  <c r="AG47" i="7"/>
  <c r="AH47" i="7" s="1"/>
  <c r="AH46" i="7"/>
  <c r="AH45" i="7"/>
  <c r="AH44" i="7"/>
  <c r="AG42" i="7"/>
  <c r="AH42" i="7" s="1"/>
  <c r="AG41" i="7"/>
  <c r="AH41" i="7" s="1"/>
  <c r="AG40" i="7"/>
  <c r="AH40" i="7" s="1"/>
  <c r="AG38" i="7"/>
  <c r="AH38" i="7" s="1"/>
  <c r="AG37" i="7"/>
  <c r="AH37" i="7" s="1"/>
  <c r="AG36" i="7"/>
  <c r="AH36" i="7" s="1"/>
  <c r="AG35" i="7"/>
  <c r="AH35" i="7" s="1"/>
  <c r="AG34" i="7"/>
  <c r="AH34" i="7" s="1"/>
  <c r="AG33" i="7"/>
  <c r="AH33" i="7" s="1"/>
  <c r="AG32" i="7"/>
  <c r="AH32" i="7" s="1"/>
  <c r="AG31" i="7"/>
  <c r="AH31" i="7" s="1"/>
  <c r="AG30" i="7"/>
  <c r="AH30" i="7" s="1"/>
  <c r="AG27" i="7"/>
  <c r="AH27" i="7" s="1"/>
  <c r="AG26" i="7"/>
  <c r="AH26" i="7" s="1"/>
  <c r="AG25" i="7"/>
  <c r="AH25" i="7" s="1"/>
  <c r="AG24" i="7"/>
  <c r="AH24" i="7" s="1"/>
  <c r="AG23" i="7"/>
  <c r="AH23" i="7" s="1"/>
  <c r="AG22" i="7"/>
  <c r="AH22" i="7" s="1"/>
  <c r="AG21" i="7"/>
  <c r="AH21" i="7" s="1"/>
  <c r="AG20" i="7"/>
  <c r="AH20" i="7" s="1"/>
  <c r="AG19" i="7"/>
  <c r="AH19" i="7" s="1"/>
  <c r="AG18" i="7"/>
  <c r="AH18" i="7" s="1"/>
  <c r="AG17" i="7"/>
  <c r="AH17" i="7" s="1"/>
  <c r="AG16" i="7"/>
  <c r="AH16" i="7" s="1"/>
  <c r="AG15" i="7"/>
  <c r="AH15" i="7" s="1"/>
  <c r="AG14" i="7"/>
  <c r="AH14" i="7" s="1"/>
  <c r="AG13" i="7"/>
  <c r="AH13" i="7" s="1"/>
  <c r="AG12" i="7"/>
  <c r="AH12" i="7" s="1"/>
  <c r="AG11" i="7"/>
  <c r="AH11" i="7" s="1"/>
  <c r="AG10" i="7"/>
  <c r="AH10" i="7" s="1"/>
  <c r="AG9" i="7"/>
  <c r="AH9" i="7" s="1"/>
  <c r="AG8" i="7"/>
  <c r="AH8" i="7" s="1"/>
  <c r="AG7" i="7"/>
  <c r="AH7" i="7" s="1"/>
  <c r="AG6" i="7"/>
  <c r="AH6" i="7" s="1"/>
  <c r="AG5" i="7"/>
  <c r="AH5" i="7" s="1"/>
  <c r="AG4" i="7"/>
  <c r="AH4" i="7" s="1"/>
  <c r="AG3" i="7"/>
  <c r="AH3" i="7" s="1"/>
  <c r="AH50" i="5" l="1"/>
  <c r="AI50" i="5" s="1"/>
  <c r="AH49" i="5"/>
  <c r="AI49" i="5" s="1"/>
  <c r="AH48" i="5"/>
  <c r="AI48" i="5" s="1"/>
  <c r="AH47" i="5"/>
  <c r="AI47" i="5" s="1"/>
  <c r="AH46" i="5"/>
  <c r="AI46" i="5" s="1"/>
  <c r="AH45" i="5"/>
  <c r="AI45" i="5" s="1"/>
  <c r="AH44" i="5"/>
  <c r="AI44" i="5" s="1"/>
  <c r="AH43" i="5"/>
  <c r="AI43" i="5" s="1"/>
  <c r="AH42" i="5"/>
  <c r="AI42" i="5" s="1"/>
  <c r="AH41" i="5"/>
  <c r="AI41" i="5" s="1"/>
  <c r="AH40" i="5"/>
  <c r="AI40" i="5" s="1"/>
  <c r="AH39" i="5"/>
  <c r="AI39" i="5" s="1"/>
  <c r="AH38" i="5"/>
  <c r="AI38" i="5" s="1"/>
  <c r="AH37" i="5"/>
  <c r="AI37" i="5" s="1"/>
  <c r="AH36" i="5"/>
  <c r="AI36" i="5" s="1"/>
  <c r="AH35" i="5"/>
  <c r="AI35" i="5" s="1"/>
  <c r="AH34" i="5"/>
  <c r="AI34" i="5" s="1"/>
  <c r="AH33" i="5"/>
  <c r="AI33" i="5" s="1"/>
  <c r="AH32" i="5"/>
  <c r="AI32" i="5" s="1"/>
  <c r="AH31" i="5"/>
  <c r="AI31" i="5" s="1"/>
  <c r="AH30" i="5"/>
  <c r="AI30" i="5" s="1"/>
  <c r="AH29" i="5"/>
  <c r="AI29" i="5" s="1"/>
  <c r="AH28" i="5"/>
  <c r="AI28" i="5" s="1"/>
  <c r="AH27" i="5"/>
  <c r="AI27" i="5" s="1"/>
  <c r="AH26" i="5"/>
  <c r="AI26" i="5" s="1"/>
  <c r="AH25" i="5"/>
  <c r="AI25" i="5" s="1"/>
  <c r="AH24" i="5"/>
  <c r="AI24" i="5" s="1"/>
  <c r="AH23" i="5"/>
  <c r="AI23" i="5" s="1"/>
  <c r="AH22" i="5"/>
  <c r="AI22" i="5" s="1"/>
  <c r="AH21" i="5"/>
  <c r="AI21" i="5" s="1"/>
  <c r="AH20" i="5"/>
  <c r="AI20" i="5" s="1"/>
  <c r="AH19" i="5"/>
  <c r="AI19" i="5" s="1"/>
  <c r="AH18" i="5"/>
  <c r="AI18" i="5" s="1"/>
  <c r="AH17" i="5"/>
  <c r="AI17" i="5" s="1"/>
  <c r="AH16" i="5"/>
  <c r="AI16" i="5" s="1"/>
  <c r="AH15" i="5"/>
  <c r="AI15" i="5" s="1"/>
  <c r="AH14" i="5"/>
  <c r="AI14" i="5" s="1"/>
  <c r="AH13" i="5"/>
  <c r="AI13" i="5" s="1"/>
  <c r="AH12" i="5"/>
  <c r="AI12" i="5" s="1"/>
  <c r="AH11" i="5"/>
  <c r="AI11" i="5" s="1"/>
  <c r="AH10" i="5"/>
  <c r="AI10" i="5" s="1"/>
  <c r="AH9" i="5"/>
  <c r="AI9" i="5" s="1"/>
  <c r="AH8" i="5"/>
  <c r="AI8" i="5" s="1"/>
  <c r="AH7" i="5"/>
  <c r="AI7" i="5" s="1"/>
  <c r="AH6" i="5"/>
  <c r="AI6" i="5" s="1"/>
  <c r="AH5" i="5"/>
  <c r="AI5" i="5" s="1"/>
  <c r="AH4" i="5"/>
  <c r="AI4" i="5" s="1"/>
  <c r="AH3" i="5"/>
  <c r="AI3" i="5" s="1"/>
  <c r="AH48" i="3" l="1"/>
  <c r="AH4" i="3" l="1"/>
  <c r="AI4" i="3" s="1"/>
  <c r="AH5" i="3"/>
  <c r="AI5" i="3" s="1"/>
  <c r="AH6" i="3"/>
  <c r="AI6" i="3" s="1"/>
  <c r="AH7" i="3"/>
  <c r="AI7" i="3" s="1"/>
  <c r="AH8" i="3"/>
  <c r="AI8" i="3" s="1"/>
  <c r="AH9" i="3"/>
  <c r="AI9" i="3" s="1"/>
  <c r="AH10" i="3"/>
  <c r="AI10" i="3" s="1"/>
  <c r="AH11" i="3"/>
  <c r="AI11" i="3" s="1"/>
  <c r="AH12" i="3"/>
  <c r="AI12" i="3" s="1"/>
  <c r="AH13" i="3"/>
  <c r="AI13" i="3" s="1"/>
  <c r="AH14" i="3"/>
  <c r="AI14" i="3" s="1"/>
  <c r="AH15" i="3"/>
  <c r="AI15" i="3" s="1"/>
  <c r="AH16" i="3"/>
  <c r="AI16" i="3" s="1"/>
  <c r="AH17" i="3"/>
  <c r="AI17" i="3" s="1"/>
  <c r="AH18" i="3"/>
  <c r="AI18" i="3" s="1"/>
  <c r="AH19" i="3"/>
  <c r="AI19" i="3" s="1"/>
  <c r="AH20" i="3"/>
  <c r="AI20" i="3" s="1"/>
  <c r="AH21" i="3"/>
  <c r="AI21" i="3" s="1"/>
  <c r="AH22" i="3"/>
  <c r="AI22" i="3" s="1"/>
  <c r="AH23" i="3"/>
  <c r="AI23" i="3" s="1"/>
  <c r="AH24" i="3"/>
  <c r="AI24" i="3" s="1"/>
  <c r="AH25" i="3"/>
  <c r="AI25" i="3" s="1"/>
  <c r="AH26" i="3"/>
  <c r="AI26" i="3" s="1"/>
  <c r="AH27" i="3"/>
  <c r="AI27" i="3" s="1"/>
  <c r="AH28" i="3"/>
  <c r="AI28" i="3" s="1"/>
  <c r="AH29" i="3"/>
  <c r="AI29" i="3" s="1"/>
  <c r="AH30" i="3"/>
  <c r="AI30" i="3" s="1"/>
  <c r="AH31" i="3"/>
  <c r="AI31" i="3" s="1"/>
  <c r="AH32" i="3"/>
  <c r="AI32" i="3" s="1"/>
  <c r="AH33" i="3"/>
  <c r="AI33" i="3" s="1"/>
  <c r="AH34" i="3"/>
  <c r="AI34" i="3" s="1"/>
  <c r="AH35" i="3"/>
  <c r="AI35" i="3" s="1"/>
  <c r="AH36" i="3"/>
  <c r="AI36" i="3" s="1"/>
  <c r="AH37" i="3"/>
  <c r="AI37" i="3" s="1"/>
  <c r="AH38" i="3"/>
  <c r="AI38" i="3" s="1"/>
  <c r="AH39" i="3"/>
  <c r="AI39" i="3" s="1"/>
  <c r="AH40" i="3"/>
  <c r="AI40" i="3" s="1"/>
  <c r="AH41" i="3"/>
  <c r="AI41" i="3" s="1"/>
  <c r="AH42" i="3"/>
  <c r="AI42" i="3" s="1"/>
  <c r="AH43" i="3"/>
  <c r="AI43" i="3" s="1"/>
  <c r="AH44" i="3"/>
  <c r="AI44" i="3" s="1"/>
  <c r="AH45" i="3"/>
  <c r="AI45" i="3" s="1"/>
  <c r="AH46" i="3"/>
  <c r="AI46" i="3" s="1"/>
  <c r="AH47" i="3"/>
  <c r="AI47" i="3" s="1"/>
  <c r="AI48" i="3"/>
  <c r="AH49" i="3"/>
  <c r="AI49" i="3" s="1"/>
  <c r="AH50" i="3"/>
  <c r="AI50" i="3" s="1"/>
  <c r="AH51" i="3"/>
  <c r="AI51" i="3" s="1"/>
  <c r="AH52" i="3"/>
  <c r="AI52" i="3" s="1"/>
  <c r="AH53" i="3"/>
  <c r="AI53" i="3" s="1"/>
  <c r="AH54" i="3"/>
  <c r="AI54" i="3" s="1"/>
  <c r="AH55" i="3"/>
  <c r="AI55" i="3" s="1"/>
  <c r="AH56" i="3"/>
  <c r="AI56" i="3" s="1"/>
  <c r="AH57" i="3"/>
  <c r="AI57" i="3" s="1"/>
  <c r="AH58" i="3"/>
  <c r="AI58" i="3" s="1"/>
  <c r="AH59" i="3"/>
  <c r="AI59" i="3" s="1"/>
  <c r="AH60" i="3"/>
  <c r="AI60" i="3" s="1"/>
  <c r="AH61" i="3"/>
  <c r="AI61" i="3" s="1"/>
  <c r="AH62" i="3"/>
  <c r="AI62" i="3" s="1"/>
  <c r="AH63" i="3"/>
  <c r="AI63" i="3" s="1"/>
  <c r="AH64" i="3"/>
  <c r="AI64" i="3" s="1"/>
  <c r="AH65" i="3"/>
  <c r="AI65" i="3" s="1"/>
  <c r="AH66" i="3"/>
  <c r="AI66" i="3" s="1"/>
  <c r="AH3" i="3"/>
  <c r="AI3" i="3" s="1"/>
  <c r="AA7" i="2" l="1"/>
</calcChain>
</file>

<file path=xl/sharedStrings.xml><?xml version="1.0" encoding="utf-8"?>
<sst xmlns="http://schemas.openxmlformats.org/spreadsheetml/2006/main" count="515" uniqueCount="358">
  <si>
    <t xml:space="preserve"> NAME OF CUSTOMER </t>
  </si>
  <si>
    <t>ADDRES</t>
  </si>
  <si>
    <t>CELL NO</t>
  </si>
  <si>
    <t>EIDU GOTH</t>
  </si>
  <si>
    <t>TULIP WATER PLANT MONTHLY CUSTOMERS        Month of SEPTEMBER 2025</t>
  </si>
  <si>
    <t>Total</t>
  </si>
  <si>
    <t>NIL</t>
  </si>
  <si>
    <t>TALHA IQBAL R/30</t>
  </si>
  <si>
    <t>FUJI IMRAN</t>
  </si>
  <si>
    <t>WASEEM BHUTTO</t>
  </si>
  <si>
    <t>M TARIQ      R/378</t>
  </si>
  <si>
    <t>KASHIF LASHARI</t>
  </si>
  <si>
    <t xml:space="preserve">MUNIR BULEDI </t>
  </si>
  <si>
    <t>BILAL R/380</t>
  </si>
  <si>
    <t>UBAID HAJI BABA</t>
  </si>
  <si>
    <t>R--15</t>
  </si>
  <si>
    <t>RANA ZAHID</t>
  </si>
  <si>
    <t>MUMTAZ SHEIKH</t>
  </si>
  <si>
    <t>JABBAR SHEIKH</t>
  </si>
  <si>
    <t>MUSHTAQ AHMED R--32</t>
  </si>
  <si>
    <t>MUZAMIL RAMZAN  B 116</t>
  </si>
  <si>
    <t>MALIK HOUSE R -52</t>
  </si>
  <si>
    <t>GHULAM ALI RIND JALALI BABA</t>
  </si>
  <si>
    <t>DAILY</t>
  </si>
  <si>
    <t>SAJJAN</t>
  </si>
  <si>
    <t>MAKOO R--19</t>
  </si>
  <si>
    <t>NOOR AHMED QABRANI JALAI</t>
  </si>
  <si>
    <t>AKHTAR ABBAS</t>
  </si>
  <si>
    <t>ABDUL QAYOUM JOYO</t>
  </si>
  <si>
    <t>BALOCH GODAM</t>
  </si>
  <si>
    <t>MUSHTAQUE</t>
  </si>
  <si>
    <t>RAFIQUE</t>
  </si>
  <si>
    <t>SALOO FUJI IMRAN</t>
  </si>
  <si>
    <t>ALI BUX R26</t>
  </si>
  <si>
    <t>YASEEN</t>
  </si>
  <si>
    <t>MOTO BHAIE</t>
  </si>
  <si>
    <t>A-25/104</t>
  </si>
  <si>
    <t>R-391 BULEDI</t>
  </si>
  <si>
    <t>AKBAR BALOCH</t>
  </si>
  <si>
    <t>INSAF HAJANO</t>
  </si>
  <si>
    <t>NASEER SOOMRO</t>
  </si>
  <si>
    <t>R-21</t>
  </si>
  <si>
    <t>IBRAHIM DSP OFFICE</t>
  </si>
  <si>
    <t>JALALI WARO</t>
  </si>
  <si>
    <t>L-19/2 STEEL TOWN</t>
  </si>
  <si>
    <t>A-24/204 STEEL TOWN</t>
  </si>
  <si>
    <r>
      <t xml:space="preserve">ATFAB CHANDIO </t>
    </r>
    <r>
      <rPr>
        <b/>
        <sz val="14"/>
        <color rgb="FFFF0000"/>
        <rFont val="Calibri"/>
        <family val="2"/>
        <scheme val="minor"/>
      </rPr>
      <t>ATC</t>
    </r>
  </si>
  <si>
    <t>TULIP WATER PLANT MONTHLY CUSTOMERS        Month of OCTOBER 2025</t>
  </si>
  <si>
    <t>o</t>
  </si>
  <si>
    <t>1000/24/9/25</t>
  </si>
  <si>
    <t>300/24/9/25</t>
  </si>
  <si>
    <t>R/380</t>
  </si>
  <si>
    <t>R-63</t>
  </si>
  <si>
    <t>R-30</t>
  </si>
  <si>
    <t>R-72</t>
  </si>
  <si>
    <t>R-71</t>
  </si>
  <si>
    <t>R-32</t>
  </si>
  <si>
    <t>B-116</t>
  </si>
  <si>
    <r>
      <t>P BLNC 7</t>
    </r>
    <r>
      <rPr>
        <b/>
        <sz val="11"/>
        <color theme="1"/>
        <rFont val="Calibri"/>
        <family val="2"/>
        <scheme val="minor"/>
      </rPr>
      <t>500/</t>
    </r>
  </si>
  <si>
    <t>BLNC2640</t>
  </si>
  <si>
    <t>R 19</t>
  </si>
  <si>
    <t>0-</t>
  </si>
  <si>
    <t>ADV 700/ 15/9/25</t>
  </si>
  <si>
    <t>R 101 QURESHI</t>
  </si>
  <si>
    <t>25/9 300</t>
  </si>
  <si>
    <t>R-37  ROMAN CITY</t>
  </si>
  <si>
    <t>l-139  sabo gabole goth</t>
  </si>
  <si>
    <t>R-358  SHAH TOWN 6 NO GALI</t>
  </si>
  <si>
    <t>R-270 SHAH TOWN 9 NO GALI</t>
  </si>
  <si>
    <t>R-391 SHAH TOWN</t>
  </si>
  <si>
    <t xml:space="preserve">R 13 </t>
  </si>
  <si>
    <t>L 138  SABO GABOLE GOTH</t>
  </si>
  <si>
    <t xml:space="preserve">R 356 </t>
  </si>
  <si>
    <t>R-250</t>
  </si>
  <si>
    <t>AKHTAR</t>
  </si>
  <si>
    <t>SHAHMOOR</t>
  </si>
  <si>
    <t>R-347</t>
  </si>
  <si>
    <t>R-13</t>
  </si>
  <si>
    <t>JALALI BABA</t>
  </si>
  <si>
    <t>R-21 PAKISTAN SHOROOM</t>
  </si>
  <si>
    <t>KURARI NO 3</t>
  </si>
  <si>
    <t>HAJI BABA SAHIL</t>
  </si>
  <si>
    <t>R-27  PAKISTAN SHOROM</t>
  </si>
  <si>
    <t>R-360 BULEDI</t>
  </si>
  <si>
    <t>R-18  BLUE BELL SHAH TOWN</t>
  </si>
  <si>
    <t>ADNAN BALOCH PARO</t>
  </si>
  <si>
    <t>18/9 RS 60/=</t>
  </si>
  <si>
    <t>R-2 PAKISTAN SHOROM</t>
  </si>
  <si>
    <t>R-380 ABDUL BARI</t>
  </si>
  <si>
    <t>120/=</t>
  </si>
  <si>
    <t>350/</t>
  </si>
  <si>
    <t>R-357</t>
  </si>
  <si>
    <t>60/=26/9/2</t>
  </si>
  <si>
    <t>A-24/204 ASIF ABRO</t>
  </si>
  <si>
    <t>R-18</t>
  </si>
  <si>
    <r>
      <t xml:space="preserve">BLNC </t>
    </r>
    <r>
      <rPr>
        <b/>
        <sz val="14"/>
        <color rgb="FFFF0000"/>
        <rFont val="Calibri"/>
        <family val="2"/>
        <scheme val="minor"/>
      </rPr>
      <t>3560/</t>
    </r>
  </si>
  <si>
    <t>P BLNC 960/AUGUST</t>
  </si>
  <si>
    <t>]</t>
  </si>
  <si>
    <t>300=</t>
  </si>
  <si>
    <t>6o blnc</t>
  </si>
  <si>
    <t>60 blnc</t>
  </si>
  <si>
    <t>120 paid 5/9</t>
  </si>
  <si>
    <t>60/</t>
  </si>
  <si>
    <t>60/blnc</t>
  </si>
  <si>
    <t>600/paid</t>
  </si>
  <si>
    <t>blnc</t>
  </si>
  <si>
    <t>180 blnc</t>
  </si>
  <si>
    <t>180/blnc</t>
  </si>
  <si>
    <t>120 blnc</t>
  </si>
  <si>
    <t>960 blnc</t>
  </si>
  <si>
    <t>50 blnc</t>
  </si>
  <si>
    <t>50/=- 26/9/25</t>
  </si>
  <si>
    <t>paid</t>
  </si>
  <si>
    <r>
      <t>R BLN</t>
    </r>
    <r>
      <rPr>
        <b/>
        <sz val="16"/>
        <color rgb="FFFF0000"/>
        <rFont val="Calibri"/>
        <family val="2"/>
        <scheme val="minor"/>
      </rPr>
      <t>C 480</t>
    </r>
  </si>
  <si>
    <t xml:space="preserve">01   FAHIM WEILDER </t>
  </si>
  <si>
    <t xml:space="preserve">02   INSAF LASHARI   </t>
  </si>
  <si>
    <r>
      <t xml:space="preserve">03   MALIK ZUBAIR   </t>
    </r>
    <r>
      <rPr>
        <b/>
        <sz val="14"/>
        <color rgb="FFFF0000"/>
        <rFont val="Calibri"/>
        <family val="2"/>
        <scheme val="minor"/>
      </rPr>
      <t>R 276</t>
    </r>
  </si>
  <si>
    <t>04   ZAFAR MAHAR</t>
  </si>
  <si>
    <t>05   MUMTAZ MALIK R 63</t>
  </si>
  <si>
    <t>06    A /125</t>
  </si>
  <si>
    <t>07   R---21</t>
  </si>
  <si>
    <t>08   ZUBAIR SHAH R---71 07</t>
  </si>
  <si>
    <t>09   ZULQARNAIN</t>
  </si>
  <si>
    <t>10   A REHMAN BANGLANI</t>
  </si>
  <si>
    <t>540 PAQID 2/10/25</t>
  </si>
  <si>
    <t>01   INSAF LASHARI</t>
  </si>
  <si>
    <t>03    ZAFAR MAHAR</t>
  </si>
  <si>
    <t>06    R---21</t>
  </si>
  <si>
    <t>07    ZUBAIR SHAH R---71</t>
  </si>
  <si>
    <t>08   ZULQARNAIN</t>
  </si>
  <si>
    <t>10   ABDUL REHMAN BANGLANI</t>
  </si>
  <si>
    <t>09    FAHIM WEILDER</t>
  </si>
  <si>
    <t>11   TALHA IQBAL R/30</t>
  </si>
  <si>
    <t>12    FUJI IMRAN</t>
  </si>
  <si>
    <t>13    WASEEM BHUTTO</t>
  </si>
  <si>
    <t>14    M TARIQ      R/378</t>
  </si>
  <si>
    <t>16   KASHIF LASHARI</t>
  </si>
  <si>
    <t>04    MURTAZ MALIK R 63</t>
  </si>
  <si>
    <t>17   MUNEER BULEDI</t>
  </si>
  <si>
    <t>18  BILAL R/380</t>
  </si>
  <si>
    <t>19  UBAID HAJI BABA</t>
  </si>
  <si>
    <t>20   R--15  PAKISTAN</t>
  </si>
  <si>
    <t>21   RANA ZAHID</t>
  </si>
  <si>
    <t>22  MUMTAZ SHEIKH</t>
  </si>
  <si>
    <t>23   YASEEN</t>
  </si>
  <si>
    <t>24   ABDUL QAYOUM JOYO</t>
  </si>
  <si>
    <t>25  JABBAR SHEIKH</t>
  </si>
  <si>
    <t>26    R 18  PAKISTAN</t>
  </si>
  <si>
    <t>27   MUSHTAQ AHMED R--32</t>
  </si>
  <si>
    <t>28   M RAMZAN  B 116</t>
  </si>
  <si>
    <t>29   MALIK HOUSE R -52</t>
  </si>
  <si>
    <t xml:space="preserve">30  NOOR AHMED QABRANI </t>
  </si>
  <si>
    <t>31   MAKOO R--19</t>
  </si>
  <si>
    <t>32  AKHTAR ABBAS</t>
  </si>
  <si>
    <t>33  BALOCH GODAM</t>
  </si>
  <si>
    <t>34  RAFIQUE</t>
  </si>
  <si>
    <t>35  SALOO FUJI IMRAN</t>
  </si>
  <si>
    <t>36  ALI BUX R 26</t>
  </si>
  <si>
    <t>37  A-25/104</t>
  </si>
  <si>
    <t>38  A-24/204 STEEL TOWN</t>
  </si>
  <si>
    <t>39  R-391 BULEDI</t>
  </si>
  <si>
    <t>40 AKBAR BALOCH</t>
  </si>
  <si>
    <t>41  INSAF HAJANO</t>
  </si>
  <si>
    <t>42  NASEER SOOMRO</t>
  </si>
  <si>
    <t>43 R-21  PAKISTAN</t>
  </si>
  <si>
    <t>44  IBRAHIM DSP OFFICE</t>
  </si>
  <si>
    <t>45  JALALI WARO</t>
  </si>
  <si>
    <t>46 L-19/2 STEEL TOWN</t>
  </si>
  <si>
    <t>47  MOIN AKHTAR</t>
  </si>
  <si>
    <t>48  SAWAT HARDWERE</t>
  </si>
  <si>
    <t>49  R14  ROOMAN CITY</t>
  </si>
  <si>
    <t>50   R-13 PAKISTAN</t>
  </si>
  <si>
    <t>52  R 138  SHAH TOWN</t>
  </si>
  <si>
    <t>53  R   37  ROOMAN CITY</t>
  </si>
  <si>
    <t>54  L-139   GABOLE GOTH</t>
  </si>
  <si>
    <t>55  R 101   ROOMAN CITY</t>
  </si>
  <si>
    <t>56  MUSHTAQ SOOMRO</t>
  </si>
  <si>
    <t>57  B -1100 STEEL TOWN</t>
  </si>
  <si>
    <t>BILL CUSTOMERS</t>
  </si>
  <si>
    <t>A REHMAN     900</t>
  </si>
  <si>
    <t>R  276</t>
  </si>
  <si>
    <t>PAID</t>
  </si>
  <si>
    <t>PAID 2-10-25</t>
  </si>
  <si>
    <t>PAID  3-10-25</t>
  </si>
  <si>
    <t>R-380  BILAL</t>
  </si>
  <si>
    <t>R  37    ROOMAN CITY</t>
  </si>
  <si>
    <t>PAID  2/10/25</t>
  </si>
  <si>
    <t>ZULQARNAIN</t>
  </si>
  <si>
    <t>PAIN  2/10/25</t>
  </si>
  <si>
    <t>R 63  ROYAL CITY</t>
  </si>
  <si>
    <t>PAID 3/10</t>
  </si>
  <si>
    <t>R-26  ALI BUX</t>
  </si>
  <si>
    <t>PAID 4/10</t>
  </si>
  <si>
    <t>ATC  AFTAB CHANDIO</t>
  </si>
  <si>
    <t>QAYOUM JOYO</t>
  </si>
  <si>
    <t xml:space="preserve">PAID  </t>
  </si>
  <si>
    <t>A 125</t>
  </si>
  <si>
    <t>R/378    TARIQ</t>
  </si>
  <si>
    <t>R   15</t>
  </si>
  <si>
    <t>TOTAL</t>
  </si>
  <si>
    <t>05    A -125</t>
  </si>
  <si>
    <t>58   GHULAM ALI RIND</t>
  </si>
  <si>
    <t xml:space="preserve">59       SHABIR ALI </t>
  </si>
  <si>
    <t>60      R 202  G /NUMBER</t>
  </si>
  <si>
    <t>63       DR MEMON</t>
  </si>
  <si>
    <t>64     ZUBAIR   EIDU GOTH</t>
  </si>
  <si>
    <r>
      <t xml:space="preserve">02    MALIK ZUBAIR   </t>
    </r>
    <r>
      <rPr>
        <b/>
        <sz val="16"/>
        <color rgb="FFFF0000"/>
        <rFont val="Calibri"/>
        <family val="2"/>
        <scheme val="minor"/>
      </rPr>
      <t>R 276</t>
    </r>
  </si>
  <si>
    <r>
      <t xml:space="preserve">15    ATFAB CHANDIO </t>
    </r>
    <r>
      <rPr>
        <b/>
        <sz val="16"/>
        <color rgb="FFFF0000"/>
        <rFont val="Calibri"/>
        <family val="2"/>
        <scheme val="minor"/>
      </rPr>
      <t>ATC</t>
    </r>
  </si>
  <si>
    <t>Bottles</t>
  </si>
  <si>
    <t>TULIP WATER PLANT MONTHLY CUSTOMERS        Month of November 2025</t>
  </si>
  <si>
    <t>22   ABDUL QAYOUM JOYO</t>
  </si>
  <si>
    <t>23  JABBAR SHEIKH</t>
  </si>
  <si>
    <t>24    R 18  PAKISTAN</t>
  </si>
  <si>
    <t>25   MALIK HOUSE R -52</t>
  </si>
  <si>
    <t>26 R 358  RAKSHA</t>
  </si>
  <si>
    <t>27    R 19 MAKOO</t>
  </si>
  <si>
    <t xml:space="preserve">28  NOOR AHMED QABRANI </t>
  </si>
  <si>
    <t>29   G ALI RIND</t>
  </si>
  <si>
    <t>30  AKHTAR ABBAS</t>
  </si>
  <si>
    <t xml:space="preserve"> 31  MUSHTAQ</t>
  </si>
  <si>
    <t>32  RAFIQUE</t>
  </si>
  <si>
    <t>33  ALI BUX R 26</t>
  </si>
  <si>
    <t>34  A-25/104</t>
  </si>
  <si>
    <t>35  A-24/204 STEEL TOWN</t>
  </si>
  <si>
    <t>36  NASEER SOOMRO</t>
  </si>
  <si>
    <t>37  JALAI WARO</t>
  </si>
  <si>
    <t>38 IBRAHIM DSP OFFICE</t>
  </si>
  <si>
    <t>39 SAWAT HARDWERE</t>
  </si>
  <si>
    <t>40  R14  ROOMAN CITY</t>
  </si>
  <si>
    <t>41  R 101   ROOMAN CITY</t>
  </si>
  <si>
    <t>42  B -1100 STEEL TOWN</t>
  </si>
  <si>
    <t>46   DR MEMON</t>
  </si>
  <si>
    <t xml:space="preserve">43    SHABIR ALI </t>
  </si>
  <si>
    <t>44   R 202  G /NUMBER</t>
  </si>
  <si>
    <t>45    MUNIR  HUSSAIN</t>
  </si>
  <si>
    <t xml:space="preserve"> 47   R-365</t>
  </si>
  <si>
    <t>48   HAJI ALI SHER</t>
  </si>
  <si>
    <t>49    GHULAM MUSTAFA</t>
  </si>
  <si>
    <t>50     SARFRAZLANGAH</t>
  </si>
  <si>
    <t>51    MOHSEN ALI</t>
  </si>
  <si>
    <t>5ooo</t>
  </si>
  <si>
    <t>balance</t>
  </si>
  <si>
    <t>800/</t>
  </si>
  <si>
    <t>retren</t>
  </si>
  <si>
    <t>21/10/25</t>
  </si>
  <si>
    <t>62      MUNIR  HUSSAIN</t>
  </si>
  <si>
    <t>65     R-365</t>
  </si>
  <si>
    <t>66     HAJI ALI SHER</t>
  </si>
  <si>
    <t>67     Baloch Godam</t>
  </si>
  <si>
    <t>52    BALOCH GODAM</t>
  </si>
  <si>
    <t>480nil</t>
  </si>
  <si>
    <t>600/9/11/25</t>
  </si>
  <si>
    <t>s</t>
  </si>
  <si>
    <t xml:space="preserve">              MISS</t>
  </si>
  <si>
    <t xml:space="preserve">          AAMIR BIROHI</t>
  </si>
  <si>
    <t xml:space="preserve">     R 15/15</t>
  </si>
  <si>
    <t xml:space="preserve">          L   140</t>
  </si>
  <si>
    <t xml:space="preserve">26  NOOR AHMED QABRANI </t>
  </si>
  <si>
    <t>27   MAKOO R--19</t>
  </si>
  <si>
    <t>28  AKHTAR ABBAS</t>
  </si>
  <si>
    <t>29  BALOCH GODAM</t>
  </si>
  <si>
    <t>30  RAFIQUE</t>
  </si>
  <si>
    <t>31  ALI BUX R 26</t>
  </si>
  <si>
    <t>32  A-25/104</t>
  </si>
  <si>
    <t>33  A-24/204 STEEL TOWN</t>
  </si>
  <si>
    <t>34  NASEER SOOMRO</t>
  </si>
  <si>
    <t>35  IBRAHIM DSP OFFICE</t>
  </si>
  <si>
    <t>36  JALALI WARO</t>
  </si>
  <si>
    <t>37  SAWAT HARDWERE</t>
  </si>
  <si>
    <t>38  R14  ROOMAN CITY</t>
  </si>
  <si>
    <t>39  R 101   ROOMAN CITY</t>
  </si>
  <si>
    <t>40  MUSHTAQ SOOMRO</t>
  </si>
  <si>
    <t>41  B -1100 STEEL TOWN</t>
  </si>
  <si>
    <t>42   GHULAM ALI RIND</t>
  </si>
  <si>
    <t xml:space="preserve">43       SHABIR ALI </t>
  </si>
  <si>
    <t>44      R 202  G /NUMBER</t>
  </si>
  <si>
    <t>45          MUNIR  HUSSAIN</t>
  </si>
  <si>
    <t>46       DR MEMON</t>
  </si>
  <si>
    <t>45          R-365</t>
  </si>
  <si>
    <t>46           HAJI ALI SHER</t>
  </si>
  <si>
    <t>47       SALEEM CHANO</t>
  </si>
  <si>
    <t xml:space="preserve"> 48         R 15/15   </t>
  </si>
  <si>
    <t xml:space="preserve"> 49        WISDUM SCHOOL</t>
  </si>
  <si>
    <r>
      <t xml:space="preserve">  </t>
    </r>
    <r>
      <rPr>
        <b/>
        <sz val="14"/>
        <color theme="1"/>
        <rFont val="Calibri"/>
        <family val="2"/>
        <scheme val="minor"/>
      </rPr>
      <t xml:space="preserve"> 50    IMTIAZ  CHANDTIO (ATC)</t>
    </r>
  </si>
  <si>
    <t>nil</t>
  </si>
  <si>
    <t>TOTAL AMT</t>
  </si>
  <si>
    <t># Bottles</t>
  </si>
  <si>
    <t>51   M YASEEN</t>
  </si>
  <si>
    <t>52 MUHSEN  NO 1</t>
  </si>
  <si>
    <t>53  MOHSEN  2</t>
  </si>
  <si>
    <t>54  MOHSEN  3</t>
  </si>
  <si>
    <t>55   SAHIL</t>
  </si>
  <si>
    <t>56   ADNAN</t>
  </si>
  <si>
    <t>57    SARFRAZ KHOKAR</t>
  </si>
  <si>
    <t>Average Bottles</t>
  </si>
  <si>
    <t>58    Ali Baksh Solangi</t>
  </si>
  <si>
    <t>;</t>
  </si>
  <si>
    <t>15/15</t>
  </si>
  <si>
    <t>Address</t>
  </si>
  <si>
    <t>R 276</t>
  </si>
  <si>
    <t>R 63</t>
  </si>
  <si>
    <t>A -125</t>
  </si>
  <si>
    <t>R---21</t>
  </si>
  <si>
    <t>R---71</t>
  </si>
  <si>
    <t xml:space="preserve"> ATC</t>
  </si>
  <si>
    <t>R/378</t>
  </si>
  <si>
    <t xml:space="preserve">18  BILAL </t>
  </si>
  <si>
    <t xml:space="preserve">25   MALIK HOUSE </t>
  </si>
  <si>
    <t>R -52</t>
  </si>
  <si>
    <t xml:space="preserve"> R--19</t>
  </si>
  <si>
    <t>R 26</t>
  </si>
  <si>
    <t xml:space="preserve">27   MAKOO </t>
  </si>
  <si>
    <t>(ATC)</t>
  </si>
  <si>
    <t>R-365</t>
  </si>
  <si>
    <t>R 202  G /NUMBER</t>
  </si>
  <si>
    <t xml:space="preserve"> B -1100 STEEL TOWN</t>
  </si>
  <si>
    <t xml:space="preserve"> R/30</t>
  </si>
  <si>
    <t xml:space="preserve"> R--15  PAKISTAN</t>
  </si>
  <si>
    <t>R 18  PAKISTAN</t>
  </si>
  <si>
    <t xml:space="preserve"> A-24/204 STEEL TOWN</t>
  </si>
  <si>
    <t xml:space="preserve">R14 </t>
  </si>
  <si>
    <t>R 101</t>
  </si>
  <si>
    <t>Customer Name</t>
  </si>
  <si>
    <t>1 INSAF LASHARI</t>
  </si>
  <si>
    <t xml:space="preserve">2 MALIK ZUBAIR   </t>
  </si>
  <si>
    <t>3 ZAFAR MAHAR</t>
  </si>
  <si>
    <t>6 R---21</t>
  </si>
  <si>
    <t xml:space="preserve">7 ZUBAIR SHAH </t>
  </si>
  <si>
    <t>9 FAHIM WEILDER</t>
  </si>
  <si>
    <t>10 ABDUL REHMAN BANGLANI</t>
  </si>
  <si>
    <t>13 WASEEM BHUTTO</t>
  </si>
  <si>
    <t>15 ATFAB CHANDIO</t>
  </si>
  <si>
    <t>16 KASHIF LASHARI</t>
  </si>
  <si>
    <t>11 TALHA IQBAL R/30</t>
  </si>
  <si>
    <t>12 FUJI IMRAN</t>
  </si>
  <si>
    <t xml:space="preserve">14 M TARIQ      </t>
  </si>
  <si>
    <t xml:space="preserve">50    IMTIAZ  CHANDTIO </t>
  </si>
  <si>
    <t>49        WISDUM SCHOOL</t>
  </si>
  <si>
    <t>59 GULSHAN CHANDIO</t>
  </si>
  <si>
    <t xml:space="preserve">4 MURTAZ MALIK </t>
  </si>
  <si>
    <t>5 A -125</t>
  </si>
  <si>
    <t>8 ZULQARNAIN</t>
  </si>
  <si>
    <t>48 AAMIR BIROHI</t>
  </si>
  <si>
    <t>03364024030</t>
  </si>
  <si>
    <t>03343501855</t>
  </si>
  <si>
    <t>03148066167</t>
  </si>
  <si>
    <t>03060278863</t>
  </si>
  <si>
    <t>03149251340</t>
  </si>
  <si>
    <t>03332229309</t>
  </si>
  <si>
    <t>03481802364</t>
  </si>
  <si>
    <t>03220664570</t>
  </si>
  <si>
    <t>03203204497</t>
  </si>
  <si>
    <t>03103468802</t>
  </si>
  <si>
    <t>03033943601</t>
  </si>
  <si>
    <t>03283261450</t>
  </si>
  <si>
    <t>Phone Number</t>
  </si>
  <si>
    <t>Rate</t>
  </si>
  <si>
    <t xml:space="preserve"> NAME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</si>
</sst>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/>
    <xf numFmtId="0" fontId="5" fillId="0" borderId="0" xfId="0" applyFont="1"/>
    <xf numFmtId="0" fontId="2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4" fillId="0" borderId="1" xfId="0" applyFont="1" applyBorder="1" applyAlignment="1">
      <alignment horizontal="center"/>
    </xf>
    <xf numFmtId="0" fontId="11" fillId="0" borderId="0" xfId="0" applyFont="1"/>
    <xf numFmtId="0" fontId="7" fillId="0" borderId="1" xfId="0" applyFont="1" applyBorder="1" applyAlignment="1">
      <alignment horizontal="center"/>
    </xf>
    <xf numFmtId="0" fontId="17" fillId="0" borderId="0" xfId="0" applyFont="1"/>
    <xf numFmtId="14" fontId="16" fillId="0" borderId="0" xfId="0" applyNumberFormat="1" applyFont="1"/>
    <xf numFmtId="0" fontId="5" fillId="0" borderId="0" xfId="0" applyFont="1" applyAlignment="1">
      <alignment horizontal="left"/>
    </xf>
    <xf numFmtId="0" fontId="15" fillId="0" borderId="0" xfId="0" applyFont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15" fillId="0" borderId="1" xfId="0" applyFont="1" applyBorder="1"/>
    <xf numFmtId="0" fontId="15" fillId="0" borderId="0" xfId="0" applyFont="1" applyAlignment="1">
      <alignment vertical="center"/>
    </xf>
    <xf numFmtId="0" fontId="18" fillId="0" borderId="1" xfId="0" applyFont="1" applyBorder="1"/>
    <xf numFmtId="0" fontId="7" fillId="0" borderId="5" xfId="0" applyFont="1" applyBorder="1"/>
    <xf numFmtId="14" fontId="15" fillId="0" borderId="0" xfId="0" applyNumberFormat="1" applyFont="1"/>
    <xf numFmtId="0" fontId="7" fillId="0" borderId="0" xfId="0" applyFont="1" applyAlignment="1">
      <alignment vertical="center"/>
    </xf>
    <xf numFmtId="0" fontId="19" fillId="0" borderId="0" xfId="0" applyFont="1"/>
    <xf numFmtId="0" fontId="7" fillId="0" borderId="0" xfId="0" applyFont="1" applyAlignment="1">
      <alignment horizontal="right" vertical="center"/>
    </xf>
    <xf numFmtId="0" fontId="18" fillId="0" borderId="0" xfId="0" applyFont="1"/>
    <xf numFmtId="0" fontId="2" fillId="0" borderId="0" xfId="0" applyFont="1" applyAlignment="1">
      <alignment horizontal="right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wrapText="1"/>
    </xf>
    <xf numFmtId="0" fontId="20" fillId="3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3" fontId="15" fillId="0" borderId="1" xfId="0" applyNumberFormat="1" applyFont="1" applyBorder="1" applyAlignment="1">
      <alignment horizontal="left" wrapText="1"/>
    </xf>
    <xf numFmtId="49" fontId="15" fillId="0" borderId="2" xfId="0" applyNumberFormat="1" applyFont="1" applyBorder="1" applyAlignment="1">
      <alignment wrapText="1"/>
    </xf>
    <xf numFmtId="49" fontId="18" fillId="0" borderId="2" xfId="0" applyNumberFormat="1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5" fillId="0" borderId="3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204"/>
  <sheetViews>
    <sheetView tabSelected="1" zoomScale="30" zoomScaleNormal="30" workbookViewId="0">
      <pane xSplit="8" ySplit="1" topLeftCell="J8" activePane="bottomRight" state="frozen"/>
      <selection pane="topRight" activeCell="F1" sqref="F1"/>
      <selection pane="bottomLeft" activeCell="A3" sqref="A3"/>
      <selection pane="bottomRight" activeCell="P36" sqref="P36"/>
    </sheetView>
  </sheetViews>
  <sheetFormatPr defaultColWidth="8.90625" defaultRowHeight="21" x14ac:dyDescent="0.5"/>
  <cols>
    <col min="1" max="4" width="36.36328125" style="35" customWidth="1"/>
    <col min="5" max="5" width="19.6328125" style="35" customWidth="1"/>
    <col min="6" max="6" width="14" style="35" customWidth="1"/>
    <col min="7" max="7" width="8.54296875" style="35" customWidth="1"/>
    <col min="8" max="8" width="10.36328125" style="35" customWidth="1"/>
    <col min="9" max="39" width="8.90625" style="35"/>
    <col min="40" max="40" width="11.81640625" style="35" bestFit="1" customWidth="1"/>
    <col min="41" max="16384" width="8.90625" style="35"/>
  </cols>
  <sheetData>
    <row r="1" spans="1:40" ht="42.5" thickBot="1" x14ac:dyDescent="0.55000000000000004">
      <c r="A1" s="66" t="s">
        <v>357</v>
      </c>
      <c r="B1" s="65" t="s">
        <v>322</v>
      </c>
      <c r="C1" s="65" t="s">
        <v>298</v>
      </c>
      <c r="D1" s="65" t="s">
        <v>355</v>
      </c>
      <c r="E1" s="52" t="s">
        <v>2</v>
      </c>
      <c r="F1" s="56" t="s">
        <v>285</v>
      </c>
      <c r="G1" s="56" t="s">
        <v>356</v>
      </c>
      <c r="H1" s="56" t="s">
        <v>286</v>
      </c>
      <c r="I1" s="54">
        <v>1</v>
      </c>
      <c r="J1" s="51">
        <v>2</v>
      </c>
      <c r="K1" s="51">
        <v>3</v>
      </c>
      <c r="L1" s="51">
        <v>4</v>
      </c>
      <c r="M1" s="51">
        <v>5</v>
      </c>
      <c r="N1" s="51">
        <v>6</v>
      </c>
      <c r="O1" s="51">
        <v>7</v>
      </c>
      <c r="P1" s="51">
        <v>8</v>
      </c>
      <c r="Q1" s="51">
        <v>9</v>
      </c>
      <c r="R1" s="51">
        <v>10</v>
      </c>
      <c r="S1" s="51">
        <v>11</v>
      </c>
      <c r="T1" s="51">
        <v>12</v>
      </c>
      <c r="U1" s="51">
        <v>13</v>
      </c>
      <c r="V1" s="51">
        <v>14</v>
      </c>
      <c r="W1" s="51">
        <v>15</v>
      </c>
      <c r="X1" s="51">
        <v>16</v>
      </c>
      <c r="Y1" s="51">
        <v>17</v>
      </c>
      <c r="Z1" s="51">
        <v>18</v>
      </c>
      <c r="AA1" s="51">
        <v>19</v>
      </c>
      <c r="AB1" s="51">
        <v>20</v>
      </c>
      <c r="AC1" s="51">
        <v>21</v>
      </c>
      <c r="AD1" s="51">
        <v>22</v>
      </c>
      <c r="AE1" s="51">
        <v>23</v>
      </c>
      <c r="AF1" s="51">
        <v>24</v>
      </c>
      <c r="AG1" s="51">
        <v>25</v>
      </c>
      <c r="AH1" s="51">
        <v>26</v>
      </c>
      <c r="AI1" s="51">
        <v>27</v>
      </c>
      <c r="AJ1" s="51">
        <v>28</v>
      </c>
      <c r="AK1" s="51">
        <v>29</v>
      </c>
      <c r="AL1" s="51">
        <v>30</v>
      </c>
      <c r="AM1" s="51">
        <v>31</v>
      </c>
      <c r="AN1" s="35" t="s">
        <v>294</v>
      </c>
    </row>
    <row r="2" spans="1:40" ht="21.5" thickBot="1" x14ac:dyDescent="0.55000000000000004">
      <c r="A2" s="49" t="s">
        <v>323</v>
      </c>
      <c r="B2" s="53" t="str">
        <f t="shared" ref="B2:B33" si="0">REPLACE(A2, 1, SEARCH(" ", A2), "")</f>
        <v>INSAF LASHARI</v>
      </c>
      <c r="C2" s="53"/>
      <c r="D2" s="53" t="str">
        <f>IF(LEN(TRIM(E2))&gt;0, E2, "03" &amp; TEXT(ROW(), "000000000"))</f>
        <v>03000000002</v>
      </c>
      <c r="E2" s="59"/>
      <c r="F2" s="57">
        <f>SUM(I2:AM2)*G2</f>
        <v>1860</v>
      </c>
      <c r="G2" s="57">
        <v>60</v>
      </c>
      <c r="H2" s="57">
        <f>SUM(I2:AM2)</f>
        <v>31</v>
      </c>
      <c r="I2" s="55">
        <v>1</v>
      </c>
      <c r="J2" s="50">
        <v>1</v>
      </c>
      <c r="K2" s="50">
        <v>1</v>
      </c>
      <c r="L2" s="50">
        <v>1</v>
      </c>
      <c r="M2" s="50">
        <v>1</v>
      </c>
      <c r="N2" s="50">
        <v>1</v>
      </c>
      <c r="O2" s="50">
        <v>1</v>
      </c>
      <c r="P2" s="50">
        <v>1</v>
      </c>
      <c r="Q2" s="50">
        <v>1</v>
      </c>
      <c r="R2" s="50">
        <v>1</v>
      </c>
      <c r="S2" s="50">
        <v>1</v>
      </c>
      <c r="T2" s="50">
        <v>1</v>
      </c>
      <c r="U2" s="50">
        <v>1</v>
      </c>
      <c r="V2" s="50">
        <v>1</v>
      </c>
      <c r="W2" s="50">
        <v>1</v>
      </c>
      <c r="X2" s="50">
        <v>1</v>
      </c>
      <c r="Y2" s="50">
        <v>1</v>
      </c>
      <c r="Z2" s="50">
        <v>1</v>
      </c>
      <c r="AA2" s="50">
        <v>1</v>
      </c>
      <c r="AB2" s="50">
        <v>1</v>
      </c>
      <c r="AC2" s="50">
        <v>1</v>
      </c>
      <c r="AD2" s="50">
        <v>1</v>
      </c>
      <c r="AE2" s="50">
        <v>1</v>
      </c>
      <c r="AF2" s="50">
        <v>1</v>
      </c>
      <c r="AG2" s="50">
        <v>1</v>
      </c>
      <c r="AH2" s="50">
        <v>1</v>
      </c>
      <c r="AI2" s="50">
        <v>1</v>
      </c>
      <c r="AJ2" s="50">
        <v>1</v>
      </c>
      <c r="AK2" s="50">
        <v>1</v>
      </c>
      <c r="AL2" s="50">
        <v>1</v>
      </c>
      <c r="AM2" s="50">
        <v>1</v>
      </c>
      <c r="AN2" s="35">
        <f>SUM(H2:H60)/30</f>
        <v>37.6</v>
      </c>
    </row>
    <row r="3" spans="1:40" ht="21.5" thickBot="1" x14ac:dyDescent="0.55000000000000004">
      <c r="A3" s="49" t="s">
        <v>324</v>
      </c>
      <c r="B3" s="53" t="str">
        <f t="shared" si="0"/>
        <v xml:space="preserve">MALIK ZUBAIR   </v>
      </c>
      <c r="C3" s="53" t="s">
        <v>299</v>
      </c>
      <c r="D3" s="53" t="str">
        <f t="shared" ref="D3:D63" si="1">IF(LEN(TRIM(E3))&gt;0, E3, "03" &amp; TEXT(ROW(), "000000000"))</f>
        <v>03364024030</v>
      </c>
      <c r="E3" s="59" t="s">
        <v>343</v>
      </c>
      <c r="F3" s="57">
        <f>SUM(I3:AM3)*G3</f>
        <v>600</v>
      </c>
      <c r="G3" s="57">
        <v>60</v>
      </c>
      <c r="H3" s="57">
        <f>SUM(I3:AM3)</f>
        <v>10</v>
      </c>
      <c r="I3" s="55">
        <v>1</v>
      </c>
      <c r="J3" s="50">
        <v>0</v>
      </c>
      <c r="K3" s="50">
        <v>1</v>
      </c>
      <c r="L3" s="50">
        <v>0</v>
      </c>
      <c r="M3" s="50">
        <v>0</v>
      </c>
      <c r="N3" s="50">
        <v>1</v>
      </c>
      <c r="O3" s="50">
        <v>0</v>
      </c>
      <c r="P3" s="50">
        <v>0</v>
      </c>
      <c r="Q3" s="50">
        <v>1</v>
      </c>
      <c r="R3" s="50">
        <v>0</v>
      </c>
      <c r="S3" s="50">
        <v>0</v>
      </c>
      <c r="T3" s="50">
        <v>1</v>
      </c>
      <c r="U3" s="50">
        <v>0</v>
      </c>
      <c r="V3" s="50"/>
      <c r="W3" s="50"/>
      <c r="X3" s="50">
        <v>1</v>
      </c>
      <c r="Y3" s="50"/>
      <c r="Z3" s="50"/>
      <c r="AA3" s="50">
        <v>1</v>
      </c>
      <c r="AB3" s="50">
        <v>0</v>
      </c>
      <c r="AC3" s="50">
        <v>0</v>
      </c>
      <c r="AD3" s="50">
        <v>1</v>
      </c>
      <c r="AE3" s="50">
        <v>0</v>
      </c>
      <c r="AF3" s="50">
        <v>0</v>
      </c>
      <c r="AG3" s="50">
        <v>0</v>
      </c>
      <c r="AH3" s="50">
        <v>0</v>
      </c>
      <c r="AI3" s="50"/>
      <c r="AJ3" s="50"/>
      <c r="AK3" s="50"/>
      <c r="AL3" s="50"/>
      <c r="AM3" s="50">
        <v>2</v>
      </c>
    </row>
    <row r="4" spans="1:40" ht="21.5" thickBot="1" x14ac:dyDescent="0.55000000000000004">
      <c r="A4" s="49" t="s">
        <v>325</v>
      </c>
      <c r="B4" s="53" t="str">
        <f t="shared" si="0"/>
        <v>ZAFAR MAHAR</v>
      </c>
      <c r="C4" s="53"/>
      <c r="D4" s="53" t="str">
        <f t="shared" si="1"/>
        <v>03000000004</v>
      </c>
      <c r="E4" s="59"/>
      <c r="F4" s="57">
        <f t="shared" ref="F4:F66" si="2">SUM(I4:AM4)*G4</f>
        <v>2880</v>
      </c>
      <c r="G4" s="57">
        <v>60</v>
      </c>
      <c r="H4" s="57">
        <f t="shared" ref="H4:H66" si="3">SUM(I4:AM4)</f>
        <v>48</v>
      </c>
      <c r="I4" s="55">
        <v>2</v>
      </c>
      <c r="J4" s="50">
        <v>1</v>
      </c>
      <c r="K4" s="50">
        <v>2</v>
      </c>
      <c r="L4" s="50">
        <v>2</v>
      </c>
      <c r="M4" s="50">
        <v>2</v>
      </c>
      <c r="N4" s="50">
        <v>2</v>
      </c>
      <c r="O4" s="50">
        <v>1</v>
      </c>
      <c r="P4" s="50">
        <v>2</v>
      </c>
      <c r="Q4" s="50">
        <v>2</v>
      </c>
      <c r="R4" s="50">
        <v>1</v>
      </c>
      <c r="S4" s="50">
        <v>1</v>
      </c>
      <c r="T4" s="50">
        <v>3</v>
      </c>
      <c r="U4" s="50">
        <v>1</v>
      </c>
      <c r="V4" s="50">
        <v>2</v>
      </c>
      <c r="W4" s="50">
        <v>2</v>
      </c>
      <c r="X4" s="50">
        <v>2</v>
      </c>
      <c r="Y4" s="50">
        <v>2</v>
      </c>
      <c r="Z4" s="50">
        <v>2</v>
      </c>
      <c r="AA4" s="50">
        <v>2</v>
      </c>
      <c r="AB4" s="50">
        <v>1</v>
      </c>
      <c r="AC4" s="50">
        <v>2</v>
      </c>
      <c r="AD4" s="50">
        <v>1</v>
      </c>
      <c r="AE4" s="50">
        <v>1</v>
      </c>
      <c r="AF4" s="50">
        <v>1</v>
      </c>
      <c r="AG4" s="50">
        <v>1</v>
      </c>
      <c r="AH4" s="50">
        <v>1</v>
      </c>
      <c r="AI4" s="50"/>
      <c r="AJ4" s="50"/>
      <c r="AK4" s="50"/>
      <c r="AL4" s="50"/>
      <c r="AM4" s="50">
        <v>6</v>
      </c>
    </row>
    <row r="5" spans="1:40" ht="21.5" thickBot="1" x14ac:dyDescent="0.55000000000000004">
      <c r="A5" s="49" t="s">
        <v>339</v>
      </c>
      <c r="B5" s="53" t="str">
        <f t="shared" si="0"/>
        <v xml:space="preserve">MURTAZ MALIK </v>
      </c>
      <c r="C5" s="53" t="s">
        <v>300</v>
      </c>
      <c r="D5" s="53" t="str">
        <f t="shared" si="1"/>
        <v>03343501855</v>
      </c>
      <c r="E5" s="59" t="s">
        <v>344</v>
      </c>
      <c r="F5" s="57">
        <f t="shared" si="2"/>
        <v>1260</v>
      </c>
      <c r="G5" s="57">
        <v>60</v>
      </c>
      <c r="H5" s="57">
        <f t="shared" si="3"/>
        <v>21</v>
      </c>
      <c r="I5" s="55">
        <v>1</v>
      </c>
      <c r="J5" s="50">
        <v>1</v>
      </c>
      <c r="K5" s="50">
        <v>1</v>
      </c>
      <c r="L5" s="50"/>
      <c r="M5" s="50">
        <v>1</v>
      </c>
      <c r="N5" s="50"/>
      <c r="O5" s="50">
        <v>1</v>
      </c>
      <c r="P5" s="50"/>
      <c r="Q5" s="50">
        <v>1</v>
      </c>
      <c r="R5" s="50">
        <v>0</v>
      </c>
      <c r="S5" s="50">
        <v>1</v>
      </c>
      <c r="T5" s="50">
        <v>1</v>
      </c>
      <c r="U5" s="50">
        <v>0</v>
      </c>
      <c r="V5" s="50">
        <v>2</v>
      </c>
      <c r="W5" s="50">
        <v>2</v>
      </c>
      <c r="X5" s="50"/>
      <c r="Y5" s="50"/>
      <c r="Z5" s="50">
        <v>1</v>
      </c>
      <c r="AA5" s="50"/>
      <c r="AB5" s="50">
        <v>1</v>
      </c>
      <c r="AC5" s="50">
        <v>1</v>
      </c>
      <c r="AD5" s="50">
        <v>1</v>
      </c>
      <c r="AE5" s="50">
        <v>0</v>
      </c>
      <c r="AF5" s="50">
        <v>1</v>
      </c>
      <c r="AG5" s="50">
        <v>1</v>
      </c>
      <c r="AH5" s="50">
        <v>0</v>
      </c>
      <c r="AI5" s="50"/>
      <c r="AJ5" s="50"/>
      <c r="AK5" s="50"/>
      <c r="AL5" s="50"/>
      <c r="AM5" s="50">
        <v>3</v>
      </c>
    </row>
    <row r="6" spans="1:40" ht="21.5" thickBot="1" x14ac:dyDescent="0.55000000000000004">
      <c r="A6" s="49" t="s">
        <v>340</v>
      </c>
      <c r="B6" s="53" t="str">
        <f t="shared" si="0"/>
        <v>A -125</v>
      </c>
      <c r="C6" s="53" t="s">
        <v>301</v>
      </c>
      <c r="D6" s="53" t="str">
        <f t="shared" si="1"/>
        <v>03000000006</v>
      </c>
      <c r="E6" s="59"/>
      <c r="F6" s="57">
        <f t="shared" si="2"/>
        <v>840</v>
      </c>
      <c r="G6" s="57">
        <v>60</v>
      </c>
      <c r="H6" s="57">
        <f t="shared" si="3"/>
        <v>14</v>
      </c>
      <c r="I6" s="55">
        <v>0</v>
      </c>
      <c r="J6" s="50">
        <v>1</v>
      </c>
      <c r="K6" s="50">
        <v>0</v>
      </c>
      <c r="L6" s="50">
        <v>0</v>
      </c>
      <c r="M6" s="50">
        <v>0</v>
      </c>
      <c r="N6" s="50">
        <v>2</v>
      </c>
      <c r="O6" s="50">
        <v>0</v>
      </c>
      <c r="P6" s="50">
        <v>0</v>
      </c>
      <c r="Q6" s="50">
        <v>0</v>
      </c>
      <c r="R6" s="50">
        <v>1</v>
      </c>
      <c r="S6" s="50">
        <v>0</v>
      </c>
      <c r="T6" s="50">
        <v>2</v>
      </c>
      <c r="U6" s="50">
        <v>0</v>
      </c>
      <c r="V6" s="50">
        <v>2</v>
      </c>
      <c r="W6" s="50"/>
      <c r="X6" s="50">
        <v>2</v>
      </c>
      <c r="Y6" s="50"/>
      <c r="Z6" s="50"/>
      <c r="AA6" s="50">
        <v>2</v>
      </c>
      <c r="AB6" s="50">
        <v>0</v>
      </c>
      <c r="AC6" s="50">
        <v>0</v>
      </c>
      <c r="AD6" s="50">
        <v>0</v>
      </c>
      <c r="AE6" s="50">
        <v>0</v>
      </c>
      <c r="AF6" s="50">
        <v>0</v>
      </c>
      <c r="AG6" s="50">
        <v>0</v>
      </c>
      <c r="AH6" s="50">
        <v>0</v>
      </c>
      <c r="AI6" s="50"/>
      <c r="AJ6" s="50"/>
      <c r="AK6" s="50"/>
      <c r="AL6" s="50"/>
      <c r="AM6" s="50">
        <v>2</v>
      </c>
    </row>
    <row r="7" spans="1:40" ht="21.5" thickBot="1" x14ac:dyDescent="0.55000000000000004">
      <c r="A7" s="49" t="s">
        <v>326</v>
      </c>
      <c r="B7" s="53" t="str">
        <f t="shared" si="0"/>
        <v>R---21</v>
      </c>
      <c r="C7" s="53" t="s">
        <v>302</v>
      </c>
      <c r="D7" s="53" t="str">
        <f t="shared" si="1"/>
        <v>03000000007</v>
      </c>
      <c r="E7" s="59"/>
      <c r="F7" s="57">
        <f t="shared" si="2"/>
        <v>900</v>
      </c>
      <c r="G7" s="57">
        <v>60</v>
      </c>
      <c r="H7" s="57">
        <f t="shared" si="3"/>
        <v>15</v>
      </c>
      <c r="I7" s="55">
        <v>1</v>
      </c>
      <c r="J7" s="50">
        <v>0</v>
      </c>
      <c r="K7" s="50">
        <v>1</v>
      </c>
      <c r="L7" s="50">
        <v>0</v>
      </c>
      <c r="M7" s="50">
        <v>1</v>
      </c>
      <c r="N7" s="50">
        <v>0</v>
      </c>
      <c r="O7" s="50">
        <v>1</v>
      </c>
      <c r="P7" s="50">
        <v>0</v>
      </c>
      <c r="Q7" s="50">
        <v>1</v>
      </c>
      <c r="R7" s="50">
        <v>0</v>
      </c>
      <c r="S7" s="50">
        <v>1</v>
      </c>
      <c r="T7" s="50">
        <v>0</v>
      </c>
      <c r="U7" s="50">
        <v>1</v>
      </c>
      <c r="V7" s="50"/>
      <c r="W7" s="50">
        <v>1</v>
      </c>
      <c r="X7" s="50"/>
      <c r="Y7" s="50">
        <v>1</v>
      </c>
      <c r="Z7" s="50"/>
      <c r="AA7" s="50">
        <v>1</v>
      </c>
      <c r="AB7" s="50">
        <v>0</v>
      </c>
      <c r="AC7" s="50">
        <v>1</v>
      </c>
      <c r="AD7" s="50">
        <v>0</v>
      </c>
      <c r="AE7" s="50">
        <v>1</v>
      </c>
      <c r="AF7" s="50">
        <v>0</v>
      </c>
      <c r="AG7" s="50">
        <v>1</v>
      </c>
      <c r="AH7" s="50">
        <v>0</v>
      </c>
      <c r="AI7" s="50"/>
      <c r="AJ7" s="50"/>
      <c r="AK7" s="50"/>
      <c r="AL7" s="50"/>
      <c r="AM7" s="50">
        <v>2</v>
      </c>
    </row>
    <row r="8" spans="1:40" ht="21.5" thickBot="1" x14ac:dyDescent="0.55000000000000004">
      <c r="A8" s="49" t="s">
        <v>327</v>
      </c>
      <c r="B8" s="53" t="str">
        <f t="shared" si="0"/>
        <v xml:space="preserve">ZUBAIR SHAH </v>
      </c>
      <c r="C8" s="53" t="s">
        <v>303</v>
      </c>
      <c r="D8" s="53" t="str">
        <f t="shared" si="1"/>
        <v>03148066167</v>
      </c>
      <c r="E8" s="59" t="s">
        <v>345</v>
      </c>
      <c r="F8" s="57">
        <f t="shared" si="2"/>
        <v>1440</v>
      </c>
      <c r="G8" s="57">
        <v>60</v>
      </c>
      <c r="H8" s="57">
        <f t="shared" si="3"/>
        <v>24</v>
      </c>
      <c r="I8" s="55">
        <v>0</v>
      </c>
      <c r="J8" s="50">
        <v>0</v>
      </c>
      <c r="K8" s="50">
        <v>4</v>
      </c>
      <c r="L8" s="50">
        <v>0</v>
      </c>
      <c r="M8" s="50">
        <v>0</v>
      </c>
      <c r="N8" s="50">
        <v>0</v>
      </c>
      <c r="O8" s="50">
        <v>4</v>
      </c>
      <c r="P8" s="50">
        <v>0</v>
      </c>
      <c r="Q8" s="50">
        <v>0</v>
      </c>
      <c r="R8" s="50">
        <v>0</v>
      </c>
      <c r="S8" s="50">
        <v>0</v>
      </c>
      <c r="T8" s="50">
        <v>4</v>
      </c>
      <c r="U8" s="50">
        <v>0</v>
      </c>
      <c r="V8" s="50"/>
      <c r="W8" s="50"/>
      <c r="X8" s="50"/>
      <c r="Y8" s="50">
        <v>4</v>
      </c>
      <c r="Z8" s="50"/>
      <c r="AA8" s="50"/>
      <c r="AB8" s="50">
        <v>0</v>
      </c>
      <c r="AC8" s="50">
        <v>0</v>
      </c>
      <c r="AD8" s="50">
        <v>0</v>
      </c>
      <c r="AE8" s="50">
        <v>4</v>
      </c>
      <c r="AF8" s="50">
        <v>0</v>
      </c>
      <c r="AG8" s="50">
        <v>0</v>
      </c>
      <c r="AH8" s="50">
        <v>0</v>
      </c>
      <c r="AI8" s="50"/>
      <c r="AJ8" s="50"/>
      <c r="AK8" s="50"/>
      <c r="AL8" s="50"/>
      <c r="AM8" s="50">
        <v>4</v>
      </c>
    </row>
    <row r="9" spans="1:40" ht="21.5" thickBot="1" x14ac:dyDescent="0.55000000000000004">
      <c r="A9" s="49" t="s">
        <v>341</v>
      </c>
      <c r="B9" s="53" t="str">
        <f t="shared" si="0"/>
        <v>ZULQARNAIN</v>
      </c>
      <c r="C9" s="53"/>
      <c r="D9" s="53" t="str">
        <f t="shared" si="1"/>
        <v>03060278863</v>
      </c>
      <c r="E9" s="59" t="s">
        <v>346</v>
      </c>
      <c r="F9" s="57">
        <f t="shared" si="2"/>
        <v>2160</v>
      </c>
      <c r="G9" s="57">
        <v>60</v>
      </c>
      <c r="H9" s="57">
        <f>SUM(I9:AM9)</f>
        <v>36</v>
      </c>
      <c r="I9" s="55">
        <v>0</v>
      </c>
      <c r="J9" s="50">
        <v>1</v>
      </c>
      <c r="K9" s="50">
        <v>0</v>
      </c>
      <c r="L9" s="50">
        <v>2</v>
      </c>
      <c r="M9" s="50">
        <v>0</v>
      </c>
      <c r="N9" s="50">
        <v>2</v>
      </c>
      <c r="O9" s="50">
        <v>0</v>
      </c>
      <c r="P9" s="50">
        <v>2</v>
      </c>
      <c r="Q9" s="50">
        <v>0</v>
      </c>
      <c r="R9" s="50">
        <v>1</v>
      </c>
      <c r="S9" s="50">
        <v>0</v>
      </c>
      <c r="T9" s="50">
        <v>1</v>
      </c>
      <c r="U9" s="50">
        <v>0</v>
      </c>
      <c r="V9" s="50">
        <v>3</v>
      </c>
      <c r="W9" s="50"/>
      <c r="X9" s="50">
        <v>6</v>
      </c>
      <c r="Y9" s="50"/>
      <c r="Z9" s="50">
        <v>2</v>
      </c>
      <c r="AA9" s="50"/>
      <c r="AB9" s="50">
        <v>3</v>
      </c>
      <c r="AC9" s="50">
        <v>0</v>
      </c>
      <c r="AD9" s="50">
        <v>3</v>
      </c>
      <c r="AE9" s="50">
        <v>0</v>
      </c>
      <c r="AF9" s="50">
        <v>3</v>
      </c>
      <c r="AG9" s="50">
        <v>0</v>
      </c>
      <c r="AH9" s="50">
        <v>1</v>
      </c>
      <c r="AI9" s="50"/>
      <c r="AJ9" s="50"/>
      <c r="AK9" s="50"/>
      <c r="AL9" s="50"/>
      <c r="AM9" s="50">
        <v>6</v>
      </c>
    </row>
    <row r="10" spans="1:40" ht="21.5" thickBot="1" x14ac:dyDescent="0.55000000000000004">
      <c r="A10" s="49" t="s">
        <v>328</v>
      </c>
      <c r="B10" s="53" t="str">
        <f t="shared" si="0"/>
        <v>FAHIM WEILDER</v>
      </c>
      <c r="C10" s="53"/>
      <c r="D10" s="53" t="str">
        <f t="shared" si="1"/>
        <v>03000000010</v>
      </c>
      <c r="E10" s="59"/>
      <c r="F10" s="57">
        <f t="shared" si="2"/>
        <v>2760</v>
      </c>
      <c r="G10" s="57">
        <v>60</v>
      </c>
      <c r="H10" s="57">
        <f t="shared" si="3"/>
        <v>46</v>
      </c>
      <c r="I10" s="55">
        <v>1</v>
      </c>
      <c r="J10" s="50">
        <v>0</v>
      </c>
      <c r="K10" s="50">
        <v>1</v>
      </c>
      <c r="L10" s="50">
        <v>2</v>
      </c>
      <c r="M10" s="50">
        <v>1</v>
      </c>
      <c r="N10" s="50">
        <v>3</v>
      </c>
      <c r="O10" s="50">
        <v>1</v>
      </c>
      <c r="P10" s="50">
        <v>1</v>
      </c>
      <c r="Q10" s="50">
        <v>0</v>
      </c>
      <c r="R10" s="50">
        <v>1</v>
      </c>
      <c r="S10" s="50">
        <v>3</v>
      </c>
      <c r="T10" s="50">
        <v>1</v>
      </c>
      <c r="U10" s="50">
        <v>1</v>
      </c>
      <c r="V10" s="50">
        <v>1</v>
      </c>
      <c r="W10" s="50">
        <v>4</v>
      </c>
      <c r="X10" s="50"/>
      <c r="Y10" s="50">
        <v>1</v>
      </c>
      <c r="Z10" s="50">
        <v>1</v>
      </c>
      <c r="AA10" s="50">
        <v>3</v>
      </c>
      <c r="AB10" s="50">
        <v>1</v>
      </c>
      <c r="AC10" s="50">
        <v>2</v>
      </c>
      <c r="AD10" s="50">
        <v>3</v>
      </c>
      <c r="AE10" s="50">
        <v>0</v>
      </c>
      <c r="AF10" s="50">
        <v>2</v>
      </c>
      <c r="AG10" s="50">
        <v>2</v>
      </c>
      <c r="AH10" s="50">
        <v>2</v>
      </c>
      <c r="AI10" s="50"/>
      <c r="AJ10" s="50"/>
      <c r="AK10" s="50"/>
      <c r="AL10" s="50"/>
      <c r="AM10" s="50">
        <v>8</v>
      </c>
    </row>
    <row r="11" spans="1:40" ht="42.5" thickBot="1" x14ac:dyDescent="0.55000000000000004">
      <c r="A11" s="49" t="s">
        <v>329</v>
      </c>
      <c r="B11" s="53" t="str">
        <f t="shared" si="0"/>
        <v>ABDUL REHMAN BANGLANI</v>
      </c>
      <c r="C11" s="53"/>
      <c r="D11" s="53" t="str">
        <f t="shared" si="1"/>
        <v>03149251340</v>
      </c>
      <c r="E11" s="59" t="s">
        <v>347</v>
      </c>
      <c r="F11" s="57">
        <f t="shared" si="2"/>
        <v>900</v>
      </c>
      <c r="G11" s="57">
        <v>60</v>
      </c>
      <c r="H11" s="57">
        <f t="shared" si="3"/>
        <v>15</v>
      </c>
      <c r="I11" s="55">
        <v>1</v>
      </c>
      <c r="J11" s="50">
        <v>0</v>
      </c>
      <c r="K11" s="50">
        <v>2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1</v>
      </c>
      <c r="R11" s="50">
        <v>1</v>
      </c>
      <c r="S11" s="50">
        <v>0</v>
      </c>
      <c r="T11" s="50">
        <v>1</v>
      </c>
      <c r="U11" s="50">
        <v>0</v>
      </c>
      <c r="V11" s="50">
        <v>1</v>
      </c>
      <c r="W11" s="50"/>
      <c r="X11" s="50">
        <v>1</v>
      </c>
      <c r="Y11" s="50"/>
      <c r="Z11" s="50">
        <v>1</v>
      </c>
      <c r="AA11" s="50"/>
      <c r="AB11" s="50">
        <v>1</v>
      </c>
      <c r="AC11" s="50">
        <v>0</v>
      </c>
      <c r="AD11" s="50">
        <v>1</v>
      </c>
      <c r="AE11" s="50">
        <v>0</v>
      </c>
      <c r="AF11" s="50">
        <v>1</v>
      </c>
      <c r="AG11" s="50">
        <v>0</v>
      </c>
      <c r="AH11" s="50">
        <v>1</v>
      </c>
      <c r="AI11" s="50"/>
      <c r="AJ11" s="50"/>
      <c r="AK11" s="50"/>
      <c r="AL11" s="50"/>
      <c r="AM11" s="50">
        <v>2</v>
      </c>
    </row>
    <row r="12" spans="1:40" ht="21.5" thickBot="1" x14ac:dyDescent="0.55000000000000004">
      <c r="A12" s="49" t="s">
        <v>333</v>
      </c>
      <c r="B12" s="53" t="str">
        <f t="shared" si="0"/>
        <v>TALHA IQBAL R/30</v>
      </c>
      <c r="C12" s="53" t="s">
        <v>316</v>
      </c>
      <c r="D12" s="53" t="str">
        <f t="shared" si="1"/>
        <v>03332229309</v>
      </c>
      <c r="E12" s="59" t="s">
        <v>348</v>
      </c>
      <c r="F12" s="57">
        <f t="shared" si="2"/>
        <v>1020</v>
      </c>
      <c r="G12" s="57">
        <v>60</v>
      </c>
      <c r="H12" s="57">
        <f t="shared" si="3"/>
        <v>17</v>
      </c>
      <c r="I12" s="55">
        <v>1</v>
      </c>
      <c r="J12" s="50">
        <v>1</v>
      </c>
      <c r="K12" s="50">
        <v>0</v>
      </c>
      <c r="L12" s="50">
        <v>1</v>
      </c>
      <c r="M12" s="50">
        <v>1</v>
      </c>
      <c r="N12" s="50">
        <v>0</v>
      </c>
      <c r="O12" s="50">
        <v>1</v>
      </c>
      <c r="P12" s="50">
        <v>0</v>
      </c>
      <c r="Q12" s="50">
        <v>1</v>
      </c>
      <c r="R12" s="50">
        <v>0</v>
      </c>
      <c r="S12" s="50">
        <v>1</v>
      </c>
      <c r="T12" s="50">
        <v>0</v>
      </c>
      <c r="U12" s="50">
        <v>1</v>
      </c>
      <c r="V12" s="50"/>
      <c r="W12" s="50">
        <v>1</v>
      </c>
      <c r="X12" s="50">
        <v>1</v>
      </c>
      <c r="Y12" s="50">
        <v>1</v>
      </c>
      <c r="Z12" s="50"/>
      <c r="AA12" s="50">
        <v>1</v>
      </c>
      <c r="AB12" s="50">
        <v>1</v>
      </c>
      <c r="AC12" s="50">
        <v>0</v>
      </c>
      <c r="AD12" s="50">
        <v>0</v>
      </c>
      <c r="AE12" s="50">
        <v>1</v>
      </c>
      <c r="AF12" s="50">
        <v>0</v>
      </c>
      <c r="AG12" s="50">
        <v>0</v>
      </c>
      <c r="AH12" s="50">
        <v>1</v>
      </c>
      <c r="AI12" s="50"/>
      <c r="AJ12" s="50"/>
      <c r="AK12" s="50"/>
      <c r="AL12" s="50"/>
      <c r="AM12" s="50">
        <v>2</v>
      </c>
    </row>
    <row r="13" spans="1:40" ht="21.5" thickBot="1" x14ac:dyDescent="0.55000000000000004">
      <c r="A13" s="49" t="s">
        <v>334</v>
      </c>
      <c r="B13" s="53" t="str">
        <f t="shared" si="0"/>
        <v>FUJI IMRAN</v>
      </c>
      <c r="C13" s="53"/>
      <c r="D13" s="53" t="str">
        <f t="shared" si="1"/>
        <v>03000000013</v>
      </c>
      <c r="E13" s="59"/>
      <c r="F13" s="57">
        <f t="shared" si="2"/>
        <v>420</v>
      </c>
      <c r="G13" s="57">
        <v>60</v>
      </c>
      <c r="H13" s="57">
        <f t="shared" si="3"/>
        <v>7</v>
      </c>
      <c r="I13" s="55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1</v>
      </c>
      <c r="S13" s="50">
        <v>0</v>
      </c>
      <c r="T13" s="50">
        <v>0</v>
      </c>
      <c r="U13" s="50">
        <v>0</v>
      </c>
      <c r="V13" s="50">
        <v>1</v>
      </c>
      <c r="W13" s="50"/>
      <c r="X13" s="50"/>
      <c r="Y13" s="50"/>
      <c r="Z13" s="50">
        <v>1</v>
      </c>
      <c r="AA13" s="50"/>
      <c r="AB13" s="50">
        <v>1</v>
      </c>
      <c r="AC13" s="50">
        <v>0</v>
      </c>
      <c r="AD13" s="50">
        <v>0</v>
      </c>
      <c r="AE13" s="50">
        <v>0</v>
      </c>
      <c r="AF13" s="50">
        <v>1</v>
      </c>
      <c r="AG13" s="50">
        <v>0</v>
      </c>
      <c r="AH13" s="50">
        <v>0</v>
      </c>
      <c r="AI13" s="50"/>
      <c r="AJ13" s="50"/>
      <c r="AK13" s="50"/>
      <c r="AL13" s="50"/>
      <c r="AM13" s="50">
        <v>2</v>
      </c>
    </row>
    <row r="14" spans="1:40" ht="21.5" thickBot="1" x14ac:dyDescent="0.55000000000000004">
      <c r="A14" s="49" t="s">
        <v>330</v>
      </c>
      <c r="B14" s="53" t="str">
        <f t="shared" si="0"/>
        <v>WASEEM BHUTTO</v>
      </c>
      <c r="C14" s="53"/>
      <c r="D14" s="53" t="str">
        <f t="shared" si="1"/>
        <v>03481802364</v>
      </c>
      <c r="E14" s="59" t="s">
        <v>349</v>
      </c>
      <c r="F14" s="57">
        <f t="shared" si="2"/>
        <v>540</v>
      </c>
      <c r="G14" s="57">
        <v>60</v>
      </c>
      <c r="H14" s="57">
        <f t="shared" si="3"/>
        <v>9</v>
      </c>
      <c r="I14" s="55">
        <v>1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50">
        <v>0</v>
      </c>
      <c r="P14" s="50">
        <v>0</v>
      </c>
      <c r="Q14" s="50">
        <v>1</v>
      </c>
      <c r="R14" s="50">
        <v>0</v>
      </c>
      <c r="S14" s="50">
        <v>0</v>
      </c>
      <c r="T14" s="50">
        <v>0</v>
      </c>
      <c r="U14" s="50">
        <v>0</v>
      </c>
      <c r="V14" s="50">
        <v>1</v>
      </c>
      <c r="W14" s="50"/>
      <c r="X14" s="50"/>
      <c r="Y14" s="50"/>
      <c r="Z14" s="50">
        <v>1</v>
      </c>
      <c r="AA14" s="50"/>
      <c r="AB14" s="50"/>
      <c r="AC14" s="50">
        <v>1</v>
      </c>
      <c r="AD14" s="50">
        <v>0</v>
      </c>
      <c r="AE14" s="50">
        <v>0</v>
      </c>
      <c r="AF14" s="50">
        <v>0</v>
      </c>
      <c r="AG14" s="50">
        <v>0</v>
      </c>
      <c r="AH14" s="50">
        <v>1</v>
      </c>
      <c r="AI14" s="50"/>
      <c r="AJ14" s="50"/>
      <c r="AK14" s="50"/>
      <c r="AL14" s="50"/>
      <c r="AM14" s="50">
        <v>2</v>
      </c>
    </row>
    <row r="15" spans="1:40" ht="21.5" thickBot="1" x14ac:dyDescent="0.55000000000000004">
      <c r="A15" s="49" t="s">
        <v>335</v>
      </c>
      <c r="B15" s="53" t="str">
        <f t="shared" si="0"/>
        <v xml:space="preserve">M TARIQ      </v>
      </c>
      <c r="C15" s="53" t="s">
        <v>305</v>
      </c>
      <c r="D15" s="53" t="str">
        <f t="shared" si="1"/>
        <v>03220664570</v>
      </c>
      <c r="E15" s="59" t="s">
        <v>350</v>
      </c>
      <c r="F15" s="57">
        <f t="shared" si="2"/>
        <v>1080</v>
      </c>
      <c r="G15" s="57">
        <v>60</v>
      </c>
      <c r="H15" s="57">
        <f t="shared" si="3"/>
        <v>18</v>
      </c>
      <c r="I15" s="55">
        <v>1</v>
      </c>
      <c r="J15" s="50">
        <v>0</v>
      </c>
      <c r="K15" s="50">
        <v>0</v>
      </c>
      <c r="L15" s="50">
        <v>1</v>
      </c>
      <c r="M15" s="50">
        <v>1</v>
      </c>
      <c r="N15" s="50">
        <v>1</v>
      </c>
      <c r="O15" s="50">
        <v>1</v>
      </c>
      <c r="P15" s="50">
        <v>1</v>
      </c>
      <c r="Q15" s="50">
        <v>0</v>
      </c>
      <c r="R15" s="50">
        <v>1</v>
      </c>
      <c r="S15" s="50">
        <v>1</v>
      </c>
      <c r="T15" s="50">
        <v>1</v>
      </c>
      <c r="U15" s="50">
        <v>0</v>
      </c>
      <c r="V15" s="50"/>
      <c r="W15" s="50"/>
      <c r="X15" s="50">
        <v>1</v>
      </c>
      <c r="Y15" s="50"/>
      <c r="Z15" s="50"/>
      <c r="AA15" s="50">
        <v>1</v>
      </c>
      <c r="AB15" s="50">
        <v>1</v>
      </c>
      <c r="AC15" s="50">
        <v>1</v>
      </c>
      <c r="AD15" s="50">
        <v>0</v>
      </c>
      <c r="AE15" s="50">
        <v>1</v>
      </c>
      <c r="AF15" s="50">
        <v>1</v>
      </c>
      <c r="AG15" s="50">
        <v>1</v>
      </c>
      <c r="AH15" s="50">
        <v>0</v>
      </c>
      <c r="AI15" s="50"/>
      <c r="AJ15" s="50"/>
      <c r="AK15" s="50"/>
      <c r="AL15" s="50"/>
      <c r="AM15" s="50">
        <v>2</v>
      </c>
    </row>
    <row r="16" spans="1:40" ht="21.5" thickBot="1" x14ac:dyDescent="0.55000000000000004">
      <c r="A16" s="49" t="s">
        <v>331</v>
      </c>
      <c r="B16" s="53" t="str">
        <f t="shared" si="0"/>
        <v>ATFAB CHANDIO</v>
      </c>
      <c r="C16" s="53" t="s">
        <v>304</v>
      </c>
      <c r="D16" s="53" t="str">
        <f t="shared" si="1"/>
        <v>03000000016</v>
      </c>
      <c r="E16" s="59"/>
      <c r="F16" s="57">
        <f t="shared" si="2"/>
        <v>960</v>
      </c>
      <c r="G16" s="57">
        <v>60</v>
      </c>
      <c r="H16" s="57">
        <f t="shared" si="3"/>
        <v>16</v>
      </c>
      <c r="I16" s="55">
        <v>0</v>
      </c>
      <c r="J16" s="50">
        <v>1</v>
      </c>
      <c r="K16" s="50">
        <v>0</v>
      </c>
      <c r="L16" s="50">
        <v>1</v>
      </c>
      <c r="M16" s="50">
        <v>1</v>
      </c>
      <c r="N16" s="50">
        <v>1</v>
      </c>
      <c r="O16" s="50">
        <v>0</v>
      </c>
      <c r="P16" s="50">
        <v>1</v>
      </c>
      <c r="Q16" s="50">
        <v>0</v>
      </c>
      <c r="R16" s="50">
        <v>1</v>
      </c>
      <c r="S16" s="50">
        <v>0</v>
      </c>
      <c r="T16" s="50">
        <v>1</v>
      </c>
      <c r="U16" s="50">
        <v>0</v>
      </c>
      <c r="V16" s="50">
        <v>1</v>
      </c>
      <c r="W16" s="50"/>
      <c r="X16" s="50">
        <v>1</v>
      </c>
      <c r="Y16" s="50"/>
      <c r="Z16" s="50">
        <v>1</v>
      </c>
      <c r="AA16" s="50"/>
      <c r="AB16" s="50">
        <v>1</v>
      </c>
      <c r="AC16" s="50">
        <v>0</v>
      </c>
      <c r="AD16" s="50">
        <v>1</v>
      </c>
      <c r="AE16" s="50">
        <v>0</v>
      </c>
      <c r="AF16" s="50">
        <v>1</v>
      </c>
      <c r="AG16" s="50">
        <v>0</v>
      </c>
      <c r="AH16" s="50">
        <v>1</v>
      </c>
      <c r="AI16" s="50"/>
      <c r="AJ16" s="50"/>
      <c r="AK16" s="50"/>
      <c r="AL16" s="50"/>
      <c r="AM16" s="50">
        <v>2</v>
      </c>
    </row>
    <row r="17" spans="1:39" ht="21.5" thickBot="1" x14ac:dyDescent="0.55000000000000004">
      <c r="A17" s="49" t="s">
        <v>332</v>
      </c>
      <c r="B17" s="53" t="str">
        <f t="shared" si="0"/>
        <v>KASHIF LASHARI</v>
      </c>
      <c r="C17" s="53"/>
      <c r="D17" s="53" t="str">
        <f t="shared" si="1"/>
        <v>03000000017</v>
      </c>
      <c r="E17" s="59"/>
      <c r="F17" s="57">
        <f t="shared" si="2"/>
        <v>0</v>
      </c>
      <c r="G17" s="57">
        <v>60</v>
      </c>
      <c r="H17" s="57">
        <f t="shared" si="3"/>
        <v>0</v>
      </c>
      <c r="I17" s="55"/>
      <c r="J17" s="50"/>
      <c r="K17" s="50"/>
      <c r="L17" s="50"/>
      <c r="M17" s="50"/>
      <c r="N17" s="50"/>
      <c r="O17" s="50"/>
      <c r="P17" s="50"/>
      <c r="Q17" s="50"/>
      <c r="R17" s="50">
        <v>0</v>
      </c>
      <c r="S17" s="50">
        <v>0</v>
      </c>
      <c r="T17" s="50">
        <v>0</v>
      </c>
      <c r="U17" s="50">
        <v>0</v>
      </c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</row>
    <row r="18" spans="1:39" ht="21.5" thickBot="1" x14ac:dyDescent="0.55000000000000004">
      <c r="A18" s="49" t="s">
        <v>138</v>
      </c>
      <c r="B18" s="53" t="str">
        <f t="shared" si="0"/>
        <v xml:space="preserve">  MUNEER BULEDI</v>
      </c>
      <c r="C18" s="53"/>
      <c r="D18" s="53" t="str">
        <f t="shared" si="1"/>
        <v>03000000018</v>
      </c>
      <c r="E18" s="59"/>
      <c r="F18" s="57">
        <f t="shared" si="2"/>
        <v>1860</v>
      </c>
      <c r="G18" s="57">
        <v>60</v>
      </c>
      <c r="H18" s="57">
        <f t="shared" si="3"/>
        <v>31</v>
      </c>
      <c r="I18" s="55">
        <v>1</v>
      </c>
      <c r="J18" s="50">
        <v>0</v>
      </c>
      <c r="K18" s="50">
        <v>1</v>
      </c>
      <c r="L18" s="50">
        <v>2</v>
      </c>
      <c r="M18" s="50">
        <v>1</v>
      </c>
      <c r="N18" s="50">
        <v>1</v>
      </c>
      <c r="O18" s="50">
        <v>1</v>
      </c>
      <c r="P18" s="50">
        <v>1</v>
      </c>
      <c r="Q18" s="50">
        <v>0</v>
      </c>
      <c r="R18" s="50">
        <v>1</v>
      </c>
      <c r="S18" s="50">
        <v>1</v>
      </c>
      <c r="T18" s="50">
        <v>0</v>
      </c>
      <c r="U18" s="50">
        <v>1</v>
      </c>
      <c r="V18" s="50">
        <v>1</v>
      </c>
      <c r="W18" s="50"/>
      <c r="X18" s="50">
        <v>1</v>
      </c>
      <c r="Y18" s="50">
        <v>1</v>
      </c>
      <c r="Z18" s="50">
        <v>3</v>
      </c>
      <c r="AA18" s="50"/>
      <c r="AB18" s="50">
        <v>1</v>
      </c>
      <c r="AC18" s="50">
        <v>1</v>
      </c>
      <c r="AD18" s="50">
        <v>1</v>
      </c>
      <c r="AE18" s="50">
        <v>1</v>
      </c>
      <c r="AF18" s="50">
        <v>2</v>
      </c>
      <c r="AG18" s="50">
        <v>2</v>
      </c>
      <c r="AH18" s="50">
        <v>1</v>
      </c>
      <c r="AI18" s="50"/>
      <c r="AJ18" s="50"/>
      <c r="AK18" s="50"/>
      <c r="AL18" s="50"/>
      <c r="AM18" s="50">
        <v>5</v>
      </c>
    </row>
    <row r="19" spans="1:39" ht="21.5" thickBot="1" x14ac:dyDescent="0.55000000000000004">
      <c r="A19" s="49" t="s">
        <v>306</v>
      </c>
      <c r="B19" s="53" t="str">
        <f t="shared" si="0"/>
        <v xml:space="preserve"> BILAL </v>
      </c>
      <c r="C19" s="53" t="s">
        <v>51</v>
      </c>
      <c r="D19" s="53" t="str">
        <f t="shared" si="1"/>
        <v>03000000019</v>
      </c>
      <c r="E19" s="59"/>
      <c r="F19" s="57">
        <f t="shared" si="2"/>
        <v>1560</v>
      </c>
      <c r="G19" s="57">
        <v>60</v>
      </c>
      <c r="H19" s="57">
        <f t="shared" si="3"/>
        <v>26</v>
      </c>
      <c r="I19" s="55">
        <v>1</v>
      </c>
      <c r="J19" s="50">
        <v>1</v>
      </c>
      <c r="K19" s="50">
        <v>1</v>
      </c>
      <c r="L19" s="50">
        <v>0</v>
      </c>
      <c r="M19" s="50">
        <v>2</v>
      </c>
      <c r="N19" s="50">
        <v>1</v>
      </c>
      <c r="O19" s="50">
        <v>0</v>
      </c>
      <c r="P19" s="50">
        <v>2</v>
      </c>
      <c r="Q19" s="50">
        <v>1</v>
      </c>
      <c r="R19" s="50">
        <v>0</v>
      </c>
      <c r="S19" s="50">
        <v>1</v>
      </c>
      <c r="T19" s="50">
        <v>0</v>
      </c>
      <c r="U19" s="50">
        <v>1</v>
      </c>
      <c r="V19" s="50"/>
      <c r="W19" s="50">
        <v>1</v>
      </c>
      <c r="X19" s="50"/>
      <c r="Y19" s="50"/>
      <c r="Z19" s="50">
        <v>1</v>
      </c>
      <c r="AA19" s="50">
        <v>2</v>
      </c>
      <c r="AB19" s="50"/>
      <c r="AC19" s="50">
        <v>2</v>
      </c>
      <c r="AD19" s="50">
        <v>0</v>
      </c>
      <c r="AE19" s="50">
        <v>2</v>
      </c>
      <c r="AF19" s="50">
        <v>0</v>
      </c>
      <c r="AG19" s="50">
        <v>1</v>
      </c>
      <c r="AH19" s="50">
        <v>0</v>
      </c>
      <c r="AI19" s="50"/>
      <c r="AJ19" s="50"/>
      <c r="AK19" s="50"/>
      <c r="AL19" s="50"/>
      <c r="AM19" s="50">
        <v>6</v>
      </c>
    </row>
    <row r="20" spans="1:39" ht="21.5" thickBot="1" x14ac:dyDescent="0.55000000000000004">
      <c r="A20" s="49" t="s">
        <v>140</v>
      </c>
      <c r="B20" s="53" t="str">
        <f t="shared" si="0"/>
        <v xml:space="preserve"> UBAID HAJI BABA</v>
      </c>
      <c r="C20" s="53"/>
      <c r="D20" s="53" t="str">
        <f t="shared" si="1"/>
        <v>03203204497</v>
      </c>
      <c r="E20" s="59" t="s">
        <v>351</v>
      </c>
      <c r="F20" s="57">
        <f t="shared" si="2"/>
        <v>1320</v>
      </c>
      <c r="G20" s="57">
        <v>60</v>
      </c>
      <c r="H20" s="57">
        <f t="shared" si="3"/>
        <v>22</v>
      </c>
      <c r="I20" s="55">
        <v>1</v>
      </c>
      <c r="J20" s="50">
        <v>1</v>
      </c>
      <c r="K20" s="50">
        <v>1</v>
      </c>
      <c r="L20" s="50">
        <v>1</v>
      </c>
      <c r="M20" s="50">
        <v>1</v>
      </c>
      <c r="N20" s="50">
        <v>1</v>
      </c>
      <c r="O20" s="50">
        <v>1</v>
      </c>
      <c r="P20" s="50">
        <v>1</v>
      </c>
      <c r="Q20" s="50">
        <v>1</v>
      </c>
      <c r="R20" s="50">
        <v>1</v>
      </c>
      <c r="S20" s="50">
        <v>1</v>
      </c>
      <c r="T20" s="50">
        <v>0</v>
      </c>
      <c r="U20" s="50">
        <v>0</v>
      </c>
      <c r="V20" s="50"/>
      <c r="W20" s="50"/>
      <c r="X20" s="50">
        <v>1</v>
      </c>
      <c r="Y20" s="50">
        <v>1</v>
      </c>
      <c r="Z20" s="50">
        <v>1</v>
      </c>
      <c r="AA20" s="50">
        <v>1</v>
      </c>
      <c r="AB20" s="50">
        <v>1</v>
      </c>
      <c r="AC20" s="50">
        <v>1</v>
      </c>
      <c r="AD20" s="50">
        <v>1</v>
      </c>
      <c r="AE20" s="50">
        <v>1</v>
      </c>
      <c r="AF20" s="50">
        <v>1</v>
      </c>
      <c r="AG20" s="50">
        <v>0</v>
      </c>
      <c r="AH20" s="50">
        <v>0</v>
      </c>
      <c r="AI20" s="50"/>
      <c r="AJ20" s="50"/>
      <c r="AK20" s="50"/>
      <c r="AL20" s="50"/>
      <c r="AM20" s="50">
        <v>2</v>
      </c>
    </row>
    <row r="21" spans="1:39" ht="21.5" thickBot="1" x14ac:dyDescent="0.55000000000000004">
      <c r="A21" s="49" t="s">
        <v>141</v>
      </c>
      <c r="B21" s="53" t="str">
        <f t="shared" si="0"/>
        <v xml:space="preserve">  R--15  PAKISTAN</v>
      </c>
      <c r="C21" s="53" t="s">
        <v>317</v>
      </c>
      <c r="D21" s="53" t="str">
        <f t="shared" si="1"/>
        <v>03000000021</v>
      </c>
      <c r="E21" s="60"/>
      <c r="F21" s="57">
        <f t="shared" si="2"/>
        <v>1920</v>
      </c>
      <c r="G21" s="57">
        <v>60</v>
      </c>
      <c r="H21" s="57">
        <f>SUM(I21:AM21)</f>
        <v>32</v>
      </c>
      <c r="I21" s="55">
        <v>1</v>
      </c>
      <c r="J21" s="50">
        <v>1</v>
      </c>
      <c r="K21" s="50">
        <v>1</v>
      </c>
      <c r="L21" s="50">
        <v>0</v>
      </c>
      <c r="M21" s="50">
        <v>2</v>
      </c>
      <c r="N21" s="50">
        <v>1</v>
      </c>
      <c r="O21" s="50">
        <v>1</v>
      </c>
      <c r="P21" s="50">
        <v>1</v>
      </c>
      <c r="Q21" s="50">
        <v>1</v>
      </c>
      <c r="R21" s="50">
        <v>1</v>
      </c>
      <c r="S21" s="50">
        <v>1</v>
      </c>
      <c r="T21" s="50">
        <v>1</v>
      </c>
      <c r="U21" s="50">
        <v>2</v>
      </c>
      <c r="V21" s="50">
        <v>1</v>
      </c>
      <c r="W21" s="50">
        <v>1</v>
      </c>
      <c r="X21" s="50">
        <v>1</v>
      </c>
      <c r="Y21" s="50">
        <v>1</v>
      </c>
      <c r="Z21" s="50">
        <v>1</v>
      </c>
      <c r="AA21" s="50">
        <v>1</v>
      </c>
      <c r="AB21" s="50">
        <v>1</v>
      </c>
      <c r="AC21" s="50">
        <v>1</v>
      </c>
      <c r="AD21" s="50">
        <v>1</v>
      </c>
      <c r="AE21" s="50">
        <v>1</v>
      </c>
      <c r="AF21" s="50">
        <v>1</v>
      </c>
      <c r="AG21" s="50">
        <v>1</v>
      </c>
      <c r="AH21" s="50">
        <v>1</v>
      </c>
      <c r="AI21" s="50"/>
      <c r="AJ21" s="50"/>
      <c r="AK21" s="50"/>
      <c r="AL21" s="50"/>
      <c r="AM21" s="50">
        <v>5</v>
      </c>
    </row>
    <row r="22" spans="1:39" ht="21.5" thickBot="1" x14ac:dyDescent="0.55000000000000004">
      <c r="A22" s="49" t="s">
        <v>142</v>
      </c>
      <c r="B22" s="53" t="str">
        <f t="shared" si="0"/>
        <v xml:space="preserve">  RANA ZAHID</v>
      </c>
      <c r="C22" s="53"/>
      <c r="D22" s="53" t="str">
        <f t="shared" si="1"/>
        <v>03000000022</v>
      </c>
      <c r="E22" s="59"/>
      <c r="F22" s="57">
        <f t="shared" si="2"/>
        <v>900</v>
      </c>
      <c r="G22" s="57">
        <v>60</v>
      </c>
      <c r="H22" s="57">
        <f t="shared" si="3"/>
        <v>15</v>
      </c>
      <c r="I22" s="55">
        <v>1</v>
      </c>
      <c r="J22" s="50">
        <v>1</v>
      </c>
      <c r="K22" s="50">
        <v>1</v>
      </c>
      <c r="L22" s="50">
        <v>0</v>
      </c>
      <c r="M22" s="50">
        <v>0</v>
      </c>
      <c r="N22" s="50">
        <v>1</v>
      </c>
      <c r="O22" s="50">
        <v>0</v>
      </c>
      <c r="P22" s="50">
        <v>1</v>
      </c>
      <c r="Q22" s="50">
        <v>1</v>
      </c>
      <c r="R22" s="50">
        <v>0</v>
      </c>
      <c r="S22" s="50">
        <v>0</v>
      </c>
      <c r="T22" s="50">
        <v>1</v>
      </c>
      <c r="U22" s="50">
        <v>0</v>
      </c>
      <c r="V22" s="50"/>
      <c r="W22" s="50"/>
      <c r="X22" s="50"/>
      <c r="Y22" s="50">
        <v>1</v>
      </c>
      <c r="Z22" s="50">
        <v>1</v>
      </c>
      <c r="AA22" s="50">
        <v>1</v>
      </c>
      <c r="AB22" s="50"/>
      <c r="AC22" s="50">
        <v>1</v>
      </c>
      <c r="AD22" s="50">
        <v>1</v>
      </c>
      <c r="AE22" s="50">
        <v>0</v>
      </c>
      <c r="AF22" s="50">
        <v>1</v>
      </c>
      <c r="AG22" s="50">
        <v>0</v>
      </c>
      <c r="AH22" s="50">
        <v>0</v>
      </c>
      <c r="AI22" s="50"/>
      <c r="AJ22" s="50"/>
      <c r="AK22" s="50"/>
      <c r="AL22" s="50"/>
      <c r="AM22" s="50">
        <v>2</v>
      </c>
    </row>
    <row r="23" spans="1:39" ht="21.5" thickBot="1" x14ac:dyDescent="0.55000000000000004">
      <c r="A23" s="49" t="s">
        <v>210</v>
      </c>
      <c r="B23" s="53" t="str">
        <f t="shared" si="0"/>
        <v xml:space="preserve">  ABDUL QAYOUM JOYO</v>
      </c>
      <c r="C23" s="53"/>
      <c r="D23" s="53" t="str">
        <f t="shared" si="1"/>
        <v>03000000023</v>
      </c>
      <c r="E23" s="59"/>
      <c r="F23" s="57">
        <f t="shared" si="2"/>
        <v>480</v>
      </c>
      <c r="G23" s="57">
        <v>60</v>
      </c>
      <c r="H23" s="57">
        <f t="shared" si="3"/>
        <v>8</v>
      </c>
      <c r="I23" s="55">
        <v>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1</v>
      </c>
      <c r="P23" s="50">
        <v>0</v>
      </c>
      <c r="Q23" s="50">
        <v>1</v>
      </c>
      <c r="R23" s="50">
        <v>0</v>
      </c>
      <c r="S23" s="50">
        <v>0</v>
      </c>
      <c r="T23" s="50">
        <v>0</v>
      </c>
      <c r="U23" s="50">
        <v>0</v>
      </c>
      <c r="V23" s="50"/>
      <c r="W23" s="50">
        <v>1</v>
      </c>
      <c r="X23" s="50"/>
      <c r="Y23" s="50">
        <v>1</v>
      </c>
      <c r="Z23" s="50"/>
      <c r="AA23" s="50"/>
      <c r="AB23" s="50"/>
      <c r="AC23" s="50">
        <v>1</v>
      </c>
      <c r="AD23" s="50">
        <v>0</v>
      </c>
      <c r="AE23" s="50">
        <v>0</v>
      </c>
      <c r="AF23" s="50">
        <v>0</v>
      </c>
      <c r="AG23" s="50">
        <v>1</v>
      </c>
      <c r="AH23" s="50">
        <v>0</v>
      </c>
      <c r="AI23" s="50"/>
      <c r="AJ23" s="50"/>
      <c r="AK23" s="50"/>
      <c r="AL23" s="50"/>
      <c r="AM23" s="50">
        <v>1</v>
      </c>
    </row>
    <row r="24" spans="1:39" ht="21.5" thickBot="1" x14ac:dyDescent="0.55000000000000004">
      <c r="A24" s="49" t="s">
        <v>211</v>
      </c>
      <c r="B24" s="53" t="str">
        <f t="shared" si="0"/>
        <v xml:space="preserve"> JABBAR SHEIKH</v>
      </c>
      <c r="C24" s="53"/>
      <c r="D24" s="53" t="str">
        <f t="shared" si="1"/>
        <v>03000000024</v>
      </c>
      <c r="E24" s="59"/>
      <c r="F24" s="57">
        <f t="shared" si="2"/>
        <v>1620</v>
      </c>
      <c r="G24" s="57">
        <v>60</v>
      </c>
      <c r="H24" s="57">
        <f t="shared" si="3"/>
        <v>27</v>
      </c>
      <c r="I24" s="55">
        <v>1</v>
      </c>
      <c r="J24" s="50">
        <v>1</v>
      </c>
      <c r="K24" s="50">
        <v>1</v>
      </c>
      <c r="L24" s="50">
        <v>1</v>
      </c>
      <c r="M24" s="50">
        <v>1</v>
      </c>
      <c r="N24" s="50">
        <v>1</v>
      </c>
      <c r="O24" s="50">
        <v>1</v>
      </c>
      <c r="P24" s="50">
        <v>1</v>
      </c>
      <c r="Q24" s="50">
        <v>1</v>
      </c>
      <c r="R24" s="50">
        <v>1</v>
      </c>
      <c r="S24" s="50">
        <v>1</v>
      </c>
      <c r="T24" s="50">
        <v>1</v>
      </c>
      <c r="U24" s="50">
        <v>1</v>
      </c>
      <c r="V24" s="50">
        <v>1</v>
      </c>
      <c r="W24" s="50">
        <v>1</v>
      </c>
      <c r="X24" s="50">
        <v>1</v>
      </c>
      <c r="Y24" s="50">
        <v>1</v>
      </c>
      <c r="Z24" s="50">
        <v>1</v>
      </c>
      <c r="AA24" s="50">
        <v>1</v>
      </c>
      <c r="AB24" s="50">
        <v>1</v>
      </c>
      <c r="AC24" s="50">
        <v>1</v>
      </c>
      <c r="AD24" s="50">
        <v>0</v>
      </c>
      <c r="AE24" s="50">
        <v>1</v>
      </c>
      <c r="AF24" s="50">
        <v>0</v>
      </c>
      <c r="AG24" s="50">
        <v>1</v>
      </c>
      <c r="AH24" s="50">
        <v>1</v>
      </c>
      <c r="AI24" s="50"/>
      <c r="AJ24" s="50"/>
      <c r="AK24" s="50"/>
      <c r="AL24" s="50"/>
      <c r="AM24" s="50">
        <v>3</v>
      </c>
    </row>
    <row r="25" spans="1:39" ht="21.5" thickBot="1" x14ac:dyDescent="0.55000000000000004">
      <c r="A25" s="49" t="s">
        <v>212</v>
      </c>
      <c r="B25" s="53" t="str">
        <f t="shared" si="0"/>
        <v xml:space="preserve">   R 18  PAKISTAN</v>
      </c>
      <c r="C25" s="53" t="s">
        <v>318</v>
      </c>
      <c r="D25" s="53" t="str">
        <f t="shared" si="1"/>
        <v>03000000025</v>
      </c>
      <c r="E25" s="59"/>
      <c r="F25" s="57">
        <f t="shared" si="2"/>
        <v>2160</v>
      </c>
      <c r="G25" s="57">
        <v>60</v>
      </c>
      <c r="H25" s="57">
        <f t="shared" si="3"/>
        <v>36</v>
      </c>
      <c r="I25" s="55">
        <v>1</v>
      </c>
      <c r="J25" s="50">
        <v>0</v>
      </c>
      <c r="K25" s="50">
        <v>2</v>
      </c>
      <c r="L25" s="50">
        <v>2</v>
      </c>
      <c r="M25" s="50">
        <v>1</v>
      </c>
      <c r="N25" s="50">
        <v>2</v>
      </c>
      <c r="O25" s="50">
        <v>1</v>
      </c>
      <c r="P25" s="50">
        <v>1</v>
      </c>
      <c r="Q25" s="50">
        <v>1</v>
      </c>
      <c r="R25" s="50">
        <v>1</v>
      </c>
      <c r="S25" s="50">
        <v>1</v>
      </c>
      <c r="T25" s="50">
        <v>1</v>
      </c>
      <c r="U25" s="50">
        <v>1</v>
      </c>
      <c r="V25" s="50">
        <v>1</v>
      </c>
      <c r="W25" s="50">
        <v>1</v>
      </c>
      <c r="X25" s="50">
        <v>1</v>
      </c>
      <c r="Y25" s="50">
        <v>1</v>
      </c>
      <c r="Z25" s="50">
        <v>1</v>
      </c>
      <c r="AA25" s="50">
        <v>2</v>
      </c>
      <c r="AB25" s="50">
        <v>1</v>
      </c>
      <c r="AC25" s="50">
        <v>2</v>
      </c>
      <c r="AD25" s="50">
        <v>1</v>
      </c>
      <c r="AE25" s="50">
        <v>1</v>
      </c>
      <c r="AF25" s="50">
        <v>1</v>
      </c>
      <c r="AG25" s="50">
        <v>1</v>
      </c>
      <c r="AH25" s="50">
        <v>1</v>
      </c>
      <c r="AI25" s="50"/>
      <c r="AJ25" s="50"/>
      <c r="AK25" s="50"/>
      <c r="AL25" s="50"/>
      <c r="AM25" s="50">
        <v>6</v>
      </c>
    </row>
    <row r="26" spans="1:39" ht="21.5" thickBot="1" x14ac:dyDescent="0.55000000000000004">
      <c r="A26" s="49" t="s">
        <v>307</v>
      </c>
      <c r="B26" s="53" t="str">
        <f t="shared" si="0"/>
        <v xml:space="preserve">  MALIK HOUSE </v>
      </c>
      <c r="C26" s="53" t="s">
        <v>308</v>
      </c>
      <c r="D26" s="53" t="str">
        <f t="shared" si="1"/>
        <v>03000000026</v>
      </c>
      <c r="E26" s="59"/>
      <c r="F26" s="57">
        <f t="shared" si="2"/>
        <v>2800</v>
      </c>
      <c r="G26" s="57">
        <v>70</v>
      </c>
      <c r="H26" s="57">
        <f t="shared" si="3"/>
        <v>40</v>
      </c>
      <c r="I26" s="55">
        <v>3</v>
      </c>
      <c r="J26" s="50">
        <v>0</v>
      </c>
      <c r="K26" s="50">
        <v>3</v>
      </c>
      <c r="L26" s="50">
        <v>0</v>
      </c>
      <c r="M26" s="50">
        <v>4</v>
      </c>
      <c r="N26" s="50">
        <v>0</v>
      </c>
      <c r="O26" s="50">
        <v>3</v>
      </c>
      <c r="P26" s="50">
        <v>0</v>
      </c>
      <c r="Q26" s="50">
        <v>3</v>
      </c>
      <c r="R26" s="50">
        <v>0</v>
      </c>
      <c r="S26" s="50">
        <v>2</v>
      </c>
      <c r="T26" s="50">
        <v>0</v>
      </c>
      <c r="U26" s="50">
        <v>2</v>
      </c>
      <c r="V26" s="50"/>
      <c r="W26" s="50">
        <v>3</v>
      </c>
      <c r="X26" s="50"/>
      <c r="Y26" s="50">
        <v>3</v>
      </c>
      <c r="Z26" s="50"/>
      <c r="AA26" s="50">
        <v>2</v>
      </c>
      <c r="AB26" s="50"/>
      <c r="AC26" s="50">
        <v>3</v>
      </c>
      <c r="AD26" s="50">
        <v>0</v>
      </c>
      <c r="AE26" s="50">
        <v>2</v>
      </c>
      <c r="AF26" s="50">
        <v>0</v>
      </c>
      <c r="AG26" s="50">
        <v>3</v>
      </c>
      <c r="AH26" s="50">
        <v>0</v>
      </c>
      <c r="AI26" s="50"/>
      <c r="AJ26" s="50"/>
      <c r="AK26" s="50"/>
      <c r="AL26" s="50"/>
      <c r="AM26" s="50">
        <v>4</v>
      </c>
    </row>
    <row r="27" spans="1:39" ht="21.5" thickBot="1" x14ac:dyDescent="0.55000000000000004">
      <c r="A27" s="49" t="s">
        <v>257</v>
      </c>
      <c r="B27" s="53" t="str">
        <f t="shared" si="0"/>
        <v xml:space="preserve"> NOOR AHMED QABRANI </v>
      </c>
      <c r="C27" s="53"/>
      <c r="D27" s="53" t="str">
        <f t="shared" si="1"/>
        <v>03000000027</v>
      </c>
      <c r="E27" s="59"/>
      <c r="F27" s="57">
        <f t="shared" si="2"/>
        <v>1470</v>
      </c>
      <c r="G27" s="57">
        <v>70</v>
      </c>
      <c r="H27" s="57">
        <f t="shared" si="3"/>
        <v>21</v>
      </c>
      <c r="I27" s="55">
        <v>1</v>
      </c>
      <c r="J27" s="50">
        <v>1</v>
      </c>
      <c r="K27" s="50">
        <v>1</v>
      </c>
      <c r="L27" s="50">
        <v>1</v>
      </c>
      <c r="M27" s="50">
        <v>1</v>
      </c>
      <c r="N27" s="50">
        <v>0</v>
      </c>
      <c r="O27" s="50">
        <v>1</v>
      </c>
      <c r="P27" s="50">
        <v>1</v>
      </c>
      <c r="Q27" s="50">
        <v>0</v>
      </c>
      <c r="R27" s="50">
        <v>1</v>
      </c>
      <c r="S27" s="50">
        <v>1</v>
      </c>
      <c r="T27" s="50">
        <v>1</v>
      </c>
      <c r="U27" s="50">
        <v>1</v>
      </c>
      <c r="V27" s="50">
        <v>1</v>
      </c>
      <c r="W27" s="50">
        <v>1</v>
      </c>
      <c r="X27" s="50"/>
      <c r="Y27" s="50">
        <v>1</v>
      </c>
      <c r="Z27" s="50">
        <v>1</v>
      </c>
      <c r="AA27" s="50"/>
      <c r="AB27" s="50">
        <v>1</v>
      </c>
      <c r="AC27" s="50">
        <v>1</v>
      </c>
      <c r="AD27" s="50">
        <v>0</v>
      </c>
      <c r="AE27" s="50">
        <v>0</v>
      </c>
      <c r="AF27" s="50">
        <v>1</v>
      </c>
      <c r="AG27" s="50">
        <v>1</v>
      </c>
      <c r="AH27" s="50">
        <v>1</v>
      </c>
      <c r="AI27" s="50"/>
      <c r="AJ27" s="50"/>
      <c r="AK27" s="50"/>
      <c r="AL27" s="50"/>
      <c r="AM27" s="50">
        <v>1</v>
      </c>
    </row>
    <row r="28" spans="1:39" ht="21.5" thickBot="1" x14ac:dyDescent="0.55000000000000004">
      <c r="A28" s="49" t="s">
        <v>311</v>
      </c>
      <c r="B28" s="53" t="str">
        <f t="shared" si="0"/>
        <v xml:space="preserve">  MAKOO </v>
      </c>
      <c r="C28" s="53" t="s">
        <v>309</v>
      </c>
      <c r="D28" s="53" t="str">
        <f t="shared" si="1"/>
        <v>03000000028</v>
      </c>
      <c r="E28" s="59"/>
      <c r="F28" s="57">
        <f t="shared" si="2"/>
        <v>1620</v>
      </c>
      <c r="G28" s="57">
        <v>60</v>
      </c>
      <c r="H28" s="57">
        <f t="shared" si="3"/>
        <v>27</v>
      </c>
      <c r="I28" s="55">
        <v>2</v>
      </c>
      <c r="J28" s="50">
        <v>1</v>
      </c>
      <c r="K28" s="50">
        <v>2</v>
      </c>
      <c r="L28" s="50">
        <v>1</v>
      </c>
      <c r="M28" s="50">
        <v>1</v>
      </c>
      <c r="N28" s="50">
        <v>0</v>
      </c>
      <c r="O28" s="50">
        <v>1</v>
      </c>
      <c r="P28" s="50">
        <v>1</v>
      </c>
      <c r="Q28" s="50">
        <v>0</v>
      </c>
      <c r="R28" s="50">
        <v>0</v>
      </c>
      <c r="S28" s="50">
        <v>1</v>
      </c>
      <c r="T28" s="50">
        <v>1</v>
      </c>
      <c r="U28" s="50">
        <v>1</v>
      </c>
      <c r="V28" s="50"/>
      <c r="W28" s="50">
        <v>2</v>
      </c>
      <c r="X28" s="50"/>
      <c r="Y28" s="50">
        <v>1</v>
      </c>
      <c r="Z28" s="50">
        <v>1</v>
      </c>
      <c r="AA28" s="50">
        <v>1</v>
      </c>
      <c r="AB28" s="50">
        <v>1</v>
      </c>
      <c r="AC28" s="50">
        <v>1</v>
      </c>
      <c r="AD28" s="50">
        <v>1</v>
      </c>
      <c r="AE28" s="50"/>
      <c r="AF28" s="50">
        <v>1</v>
      </c>
      <c r="AG28" s="50">
        <v>1</v>
      </c>
      <c r="AH28" s="50">
        <v>1</v>
      </c>
      <c r="AI28" s="50"/>
      <c r="AJ28" s="50"/>
      <c r="AK28" s="50"/>
      <c r="AL28" s="50"/>
      <c r="AM28" s="50">
        <v>4</v>
      </c>
    </row>
    <row r="29" spans="1:39" ht="21.5" thickBot="1" x14ac:dyDescent="0.55000000000000004">
      <c r="A29" s="49" t="s">
        <v>259</v>
      </c>
      <c r="B29" s="53" t="str">
        <f t="shared" si="0"/>
        <v xml:space="preserve"> AKHTAR ABBAS</v>
      </c>
      <c r="C29" s="53"/>
      <c r="D29" s="53" t="str">
        <f t="shared" si="1"/>
        <v>03000000029</v>
      </c>
      <c r="E29" s="59"/>
      <c r="F29" s="57">
        <f t="shared" si="2"/>
        <v>1200</v>
      </c>
      <c r="G29" s="57">
        <v>60</v>
      </c>
      <c r="H29" s="57">
        <f t="shared" si="3"/>
        <v>20</v>
      </c>
      <c r="I29" s="55">
        <v>0</v>
      </c>
      <c r="J29" s="50">
        <v>0</v>
      </c>
      <c r="K29" s="50">
        <v>0</v>
      </c>
      <c r="L29" s="50">
        <v>0</v>
      </c>
      <c r="M29" s="50">
        <v>0</v>
      </c>
      <c r="N29" s="50">
        <v>3</v>
      </c>
      <c r="O29" s="50">
        <v>0</v>
      </c>
      <c r="P29" s="50">
        <v>3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2</v>
      </c>
      <c r="W29" s="50"/>
      <c r="X29" s="50"/>
      <c r="Y29" s="50"/>
      <c r="Z29" s="50"/>
      <c r="AA29" s="50"/>
      <c r="AB29" s="50">
        <v>2</v>
      </c>
      <c r="AC29" s="50">
        <v>0</v>
      </c>
      <c r="AD29" s="50">
        <v>0</v>
      </c>
      <c r="AE29" s="50">
        <v>0</v>
      </c>
      <c r="AF29" s="50">
        <v>1</v>
      </c>
      <c r="AG29" s="50">
        <v>1</v>
      </c>
      <c r="AH29" s="50">
        <v>0</v>
      </c>
      <c r="AI29" s="50"/>
      <c r="AJ29" s="50"/>
      <c r="AK29" s="50"/>
      <c r="AL29" s="50"/>
      <c r="AM29" s="50">
        <v>8</v>
      </c>
    </row>
    <row r="30" spans="1:39" ht="21.5" thickBot="1" x14ac:dyDescent="0.55000000000000004">
      <c r="A30" s="49" t="s">
        <v>260</v>
      </c>
      <c r="B30" s="53" t="str">
        <f t="shared" si="0"/>
        <v xml:space="preserve"> BALOCH GODAM</v>
      </c>
      <c r="C30" s="53"/>
      <c r="D30" s="53" t="str">
        <f t="shared" si="1"/>
        <v>03000000030</v>
      </c>
      <c r="E30" s="59"/>
      <c r="F30" s="57">
        <f t="shared" si="2"/>
        <v>480</v>
      </c>
      <c r="G30" s="57">
        <v>60</v>
      </c>
      <c r="H30" s="57">
        <f t="shared" si="3"/>
        <v>8</v>
      </c>
      <c r="I30" s="55">
        <v>2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2</v>
      </c>
      <c r="P30" s="50">
        <v>0</v>
      </c>
      <c r="Q30" s="50">
        <v>0</v>
      </c>
      <c r="R30" s="50">
        <v>0</v>
      </c>
      <c r="S30" s="50">
        <v>0</v>
      </c>
      <c r="T30" s="50">
        <v>2</v>
      </c>
      <c r="U30" s="50">
        <v>0</v>
      </c>
      <c r="V30" s="50"/>
      <c r="W30" s="50"/>
      <c r="X30" s="50">
        <v>2</v>
      </c>
      <c r="Y30" s="50"/>
      <c r="Z30" s="50"/>
      <c r="AA30" s="50"/>
      <c r="AB30" s="50"/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/>
      <c r="AJ30" s="50"/>
      <c r="AK30" s="50"/>
      <c r="AL30" s="50"/>
      <c r="AM30" s="50">
        <v>0</v>
      </c>
    </row>
    <row r="31" spans="1:39" ht="21.5" thickBot="1" x14ac:dyDescent="0.55000000000000004">
      <c r="A31" s="49" t="s">
        <v>261</v>
      </c>
      <c r="B31" s="53" t="str">
        <f t="shared" si="0"/>
        <v xml:space="preserve"> RAFIQUE</v>
      </c>
      <c r="C31" s="53"/>
      <c r="D31" s="53" t="str">
        <f t="shared" si="1"/>
        <v>03000000031</v>
      </c>
      <c r="E31" s="59"/>
      <c r="F31" s="57">
        <f t="shared" si="2"/>
        <v>0</v>
      </c>
      <c r="G31" s="57">
        <v>60</v>
      </c>
      <c r="H31" s="57">
        <f t="shared" si="3"/>
        <v>0</v>
      </c>
      <c r="I31" s="55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</row>
    <row r="32" spans="1:39" ht="21.5" thickBot="1" x14ac:dyDescent="0.55000000000000004">
      <c r="A32" s="49" t="s">
        <v>262</v>
      </c>
      <c r="B32" s="53" t="str">
        <f t="shared" si="0"/>
        <v xml:space="preserve"> ALI BUX R 26</v>
      </c>
      <c r="C32" s="53" t="s">
        <v>310</v>
      </c>
      <c r="D32" s="53" t="str">
        <f t="shared" si="1"/>
        <v>03000000032</v>
      </c>
      <c r="E32" s="59"/>
      <c r="F32" s="57">
        <f t="shared" si="2"/>
        <v>1860</v>
      </c>
      <c r="G32" s="57">
        <v>60</v>
      </c>
      <c r="H32" s="57">
        <f t="shared" si="3"/>
        <v>31</v>
      </c>
      <c r="I32" s="55">
        <v>1</v>
      </c>
      <c r="J32" s="50">
        <v>1</v>
      </c>
      <c r="K32" s="50">
        <v>1</v>
      </c>
      <c r="L32" s="50">
        <v>1</v>
      </c>
      <c r="M32" s="50">
        <v>1</v>
      </c>
      <c r="N32" s="50">
        <v>1</v>
      </c>
      <c r="O32" s="50">
        <v>1</v>
      </c>
      <c r="P32" s="50">
        <v>1</v>
      </c>
      <c r="Q32" s="50">
        <v>1</v>
      </c>
      <c r="R32" s="50">
        <v>1</v>
      </c>
      <c r="S32" s="50">
        <v>1</v>
      </c>
      <c r="T32" s="50">
        <v>1</v>
      </c>
      <c r="U32" s="50">
        <v>1</v>
      </c>
      <c r="V32" s="50">
        <v>1</v>
      </c>
      <c r="W32" s="50">
        <v>1</v>
      </c>
      <c r="X32" s="50">
        <v>1</v>
      </c>
      <c r="Y32" s="50"/>
      <c r="Z32" s="50">
        <v>1</v>
      </c>
      <c r="AA32" s="50">
        <v>1</v>
      </c>
      <c r="AB32" s="50">
        <v>1</v>
      </c>
      <c r="AC32" s="50">
        <v>1</v>
      </c>
      <c r="AD32" s="50">
        <v>1</v>
      </c>
      <c r="AE32" s="50">
        <v>1</v>
      </c>
      <c r="AF32" s="50">
        <v>1</v>
      </c>
      <c r="AG32" s="50">
        <v>1</v>
      </c>
      <c r="AH32" s="50">
        <v>1</v>
      </c>
      <c r="AI32" s="50"/>
      <c r="AJ32" s="50"/>
      <c r="AK32" s="50"/>
      <c r="AL32" s="50"/>
      <c r="AM32" s="50">
        <v>6</v>
      </c>
    </row>
    <row r="33" spans="1:39" ht="21.5" thickBot="1" x14ac:dyDescent="0.55000000000000004">
      <c r="A33" s="49" t="s">
        <v>263</v>
      </c>
      <c r="B33" s="53" t="str">
        <f t="shared" si="0"/>
        <v xml:space="preserve"> A-25/104</v>
      </c>
      <c r="C33" s="53" t="s">
        <v>36</v>
      </c>
      <c r="D33" s="53" t="str">
        <f t="shared" si="1"/>
        <v>03000000033</v>
      </c>
      <c r="E33" s="59"/>
      <c r="F33" s="57">
        <f t="shared" si="2"/>
        <v>1680</v>
      </c>
      <c r="G33" s="57">
        <v>60</v>
      </c>
      <c r="H33" s="57">
        <f t="shared" si="3"/>
        <v>28</v>
      </c>
      <c r="I33" s="55">
        <v>1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50">
        <v>2</v>
      </c>
      <c r="P33" s="50">
        <v>0</v>
      </c>
      <c r="Q33" s="50">
        <v>2</v>
      </c>
      <c r="R33" s="50">
        <v>0</v>
      </c>
      <c r="S33" s="50">
        <v>2</v>
      </c>
      <c r="T33" s="50">
        <v>0</v>
      </c>
      <c r="U33" s="50">
        <v>2</v>
      </c>
      <c r="V33" s="50">
        <v>0</v>
      </c>
      <c r="W33" s="50">
        <v>2</v>
      </c>
      <c r="X33" s="50">
        <v>0</v>
      </c>
      <c r="Y33" s="50">
        <v>2</v>
      </c>
      <c r="Z33" s="50">
        <v>0</v>
      </c>
      <c r="AA33" s="50">
        <v>2</v>
      </c>
      <c r="AB33" s="50">
        <v>0</v>
      </c>
      <c r="AC33" s="50">
        <v>2</v>
      </c>
      <c r="AD33" s="50">
        <v>0</v>
      </c>
      <c r="AE33" s="50">
        <v>2</v>
      </c>
      <c r="AF33" s="50">
        <v>0</v>
      </c>
      <c r="AG33" s="50">
        <v>1</v>
      </c>
      <c r="AH33" s="50">
        <v>0</v>
      </c>
      <c r="AI33" s="50"/>
      <c r="AJ33" s="50"/>
      <c r="AK33" s="50"/>
      <c r="AL33" s="50"/>
      <c r="AM33" s="50">
        <v>6</v>
      </c>
    </row>
    <row r="34" spans="1:39" ht="21.5" thickBot="1" x14ac:dyDescent="0.55000000000000004">
      <c r="A34" s="49" t="s">
        <v>264</v>
      </c>
      <c r="B34" s="53" t="str">
        <f t="shared" ref="B34:B65" si="4">REPLACE(A34, 1, SEARCH(" ", A34), "")</f>
        <v xml:space="preserve"> A-24/204 STEEL TOWN</v>
      </c>
      <c r="C34" s="53" t="s">
        <v>319</v>
      </c>
      <c r="D34" s="53" t="str">
        <f t="shared" si="1"/>
        <v>03000000034</v>
      </c>
      <c r="E34" s="59"/>
      <c r="F34" s="57">
        <f t="shared" si="2"/>
        <v>0</v>
      </c>
      <c r="G34" s="57">
        <v>60</v>
      </c>
      <c r="H34" s="57">
        <f t="shared" si="3"/>
        <v>0</v>
      </c>
      <c r="I34" s="55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</row>
    <row r="35" spans="1:39" ht="21.5" thickBot="1" x14ac:dyDescent="0.55000000000000004">
      <c r="A35" s="49" t="s">
        <v>265</v>
      </c>
      <c r="B35" s="53" t="str">
        <f t="shared" si="4"/>
        <v xml:space="preserve"> NASEER SOOMRO</v>
      </c>
      <c r="C35" s="53"/>
      <c r="D35" s="53" t="str">
        <f t="shared" si="1"/>
        <v>03000000035</v>
      </c>
      <c r="E35" s="59"/>
      <c r="F35" s="57">
        <f t="shared" si="2"/>
        <v>1560</v>
      </c>
      <c r="G35" s="57">
        <v>60</v>
      </c>
      <c r="H35" s="57">
        <f t="shared" si="3"/>
        <v>26</v>
      </c>
      <c r="I35" s="55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4</v>
      </c>
      <c r="S35" s="50">
        <v>4</v>
      </c>
      <c r="T35" s="50">
        <v>4</v>
      </c>
      <c r="U35" s="50">
        <v>0</v>
      </c>
      <c r="V35" s="50"/>
      <c r="W35" s="50"/>
      <c r="X35" s="50"/>
      <c r="Y35" s="50"/>
      <c r="Z35" s="50">
        <v>3</v>
      </c>
      <c r="AA35" s="50"/>
      <c r="AB35" s="50"/>
      <c r="AC35" s="50">
        <v>3</v>
      </c>
      <c r="AD35" s="50">
        <v>0</v>
      </c>
      <c r="AE35" s="50">
        <v>0</v>
      </c>
      <c r="AF35" s="50">
        <v>0</v>
      </c>
      <c r="AG35" s="50">
        <v>4</v>
      </c>
      <c r="AH35" s="50">
        <v>0</v>
      </c>
      <c r="AI35" s="50"/>
      <c r="AJ35" s="50"/>
      <c r="AK35" s="50"/>
      <c r="AL35" s="50"/>
      <c r="AM35" s="50">
        <v>4</v>
      </c>
    </row>
    <row r="36" spans="1:39" ht="21.5" thickBot="1" x14ac:dyDescent="0.55000000000000004">
      <c r="A36" s="49" t="s">
        <v>266</v>
      </c>
      <c r="B36" s="53" t="str">
        <f t="shared" si="4"/>
        <v xml:space="preserve"> IBRAHIM DSP OFFICE</v>
      </c>
      <c r="C36" s="53"/>
      <c r="D36" s="53" t="str">
        <f t="shared" si="1"/>
        <v>03000000036</v>
      </c>
      <c r="E36" s="59"/>
      <c r="F36" s="57">
        <f t="shared" si="2"/>
        <v>720</v>
      </c>
      <c r="G36" s="57">
        <v>60</v>
      </c>
      <c r="H36" s="57">
        <f t="shared" si="3"/>
        <v>12</v>
      </c>
      <c r="I36" s="55">
        <v>1</v>
      </c>
      <c r="J36" s="50">
        <v>0</v>
      </c>
      <c r="K36" s="50">
        <v>0</v>
      </c>
      <c r="L36" s="50">
        <v>0</v>
      </c>
      <c r="M36" s="50">
        <v>1</v>
      </c>
      <c r="N36" s="50">
        <v>1</v>
      </c>
      <c r="O36" s="50">
        <v>0</v>
      </c>
      <c r="P36" s="50">
        <v>1</v>
      </c>
      <c r="Q36" s="50">
        <v>0</v>
      </c>
      <c r="R36" s="50">
        <v>0</v>
      </c>
      <c r="S36" s="50">
        <v>0</v>
      </c>
      <c r="T36" s="50">
        <v>1</v>
      </c>
      <c r="U36" s="50">
        <v>0</v>
      </c>
      <c r="V36" s="50">
        <v>1</v>
      </c>
      <c r="W36" s="50">
        <v>1</v>
      </c>
      <c r="X36" s="50"/>
      <c r="Y36" s="50"/>
      <c r="Z36" s="50"/>
      <c r="AA36" s="50">
        <v>1</v>
      </c>
      <c r="AB36" s="50"/>
      <c r="AC36" s="50">
        <v>1</v>
      </c>
      <c r="AD36" s="50">
        <v>0</v>
      </c>
      <c r="AE36" s="50">
        <v>1</v>
      </c>
      <c r="AF36" s="50">
        <v>0</v>
      </c>
      <c r="AG36" s="50">
        <v>0</v>
      </c>
      <c r="AH36" s="50">
        <v>0</v>
      </c>
      <c r="AI36" s="50"/>
      <c r="AJ36" s="50"/>
      <c r="AK36" s="50"/>
      <c r="AL36" s="50"/>
      <c r="AM36" s="50">
        <v>2</v>
      </c>
    </row>
    <row r="37" spans="1:39" ht="21.5" thickBot="1" x14ac:dyDescent="0.55000000000000004">
      <c r="A37" s="49" t="s">
        <v>267</v>
      </c>
      <c r="B37" s="53" t="str">
        <f t="shared" si="4"/>
        <v xml:space="preserve"> JALALI WARO</v>
      </c>
      <c r="C37" s="53"/>
      <c r="D37" s="53" t="str">
        <f t="shared" si="1"/>
        <v>03000000037</v>
      </c>
      <c r="E37" s="59"/>
      <c r="F37" s="57">
        <f t="shared" si="2"/>
        <v>1860</v>
      </c>
      <c r="G37" s="57">
        <v>60</v>
      </c>
      <c r="H37" s="57">
        <f t="shared" si="3"/>
        <v>31</v>
      </c>
      <c r="I37" s="55">
        <v>1</v>
      </c>
      <c r="J37" s="50">
        <v>1</v>
      </c>
      <c r="K37" s="50">
        <v>1</v>
      </c>
      <c r="L37" s="50">
        <v>1</v>
      </c>
      <c r="M37" s="50">
        <v>1</v>
      </c>
      <c r="N37" s="50">
        <v>1</v>
      </c>
      <c r="O37" s="50">
        <v>1</v>
      </c>
      <c r="P37" s="50">
        <v>1</v>
      </c>
      <c r="Q37" s="50">
        <v>1</v>
      </c>
      <c r="R37" s="50">
        <v>1</v>
      </c>
      <c r="S37" s="50">
        <v>1</v>
      </c>
      <c r="T37" s="50">
        <v>1</v>
      </c>
      <c r="U37" s="50">
        <v>1</v>
      </c>
      <c r="V37" s="50">
        <v>1</v>
      </c>
      <c r="W37" s="50">
        <v>1</v>
      </c>
      <c r="X37" s="50">
        <v>1</v>
      </c>
      <c r="Y37" s="50">
        <v>1</v>
      </c>
      <c r="Z37" s="50">
        <v>1</v>
      </c>
      <c r="AA37" s="50">
        <v>1</v>
      </c>
      <c r="AB37" s="50">
        <v>1</v>
      </c>
      <c r="AC37" s="50">
        <v>1</v>
      </c>
      <c r="AD37" s="50">
        <v>1</v>
      </c>
      <c r="AE37" s="50">
        <v>1</v>
      </c>
      <c r="AF37" s="50">
        <v>1</v>
      </c>
      <c r="AG37" s="50">
        <v>1</v>
      </c>
      <c r="AH37" s="50">
        <v>1</v>
      </c>
      <c r="AI37" s="50"/>
      <c r="AJ37" s="50"/>
      <c r="AK37" s="50"/>
      <c r="AL37" s="50"/>
      <c r="AM37" s="50">
        <v>5</v>
      </c>
    </row>
    <row r="38" spans="1:39" ht="21.5" thickBot="1" x14ac:dyDescent="0.55000000000000004">
      <c r="A38" s="49" t="s">
        <v>268</v>
      </c>
      <c r="B38" s="53" t="str">
        <f t="shared" si="4"/>
        <v xml:space="preserve"> SAWAT HARDWERE</v>
      </c>
      <c r="C38" s="53"/>
      <c r="D38" s="53" t="str">
        <f t="shared" si="1"/>
        <v>03000000038</v>
      </c>
      <c r="E38" s="59"/>
      <c r="F38" s="57">
        <f t="shared" si="2"/>
        <v>900</v>
      </c>
      <c r="G38" s="57">
        <v>60</v>
      </c>
      <c r="H38" s="57">
        <f t="shared" si="3"/>
        <v>15</v>
      </c>
      <c r="I38" s="55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50">
        <v>2</v>
      </c>
      <c r="P38" s="50">
        <v>0</v>
      </c>
      <c r="Q38" s="50">
        <v>0</v>
      </c>
      <c r="R38" s="50">
        <v>2</v>
      </c>
      <c r="S38" s="50">
        <v>0</v>
      </c>
      <c r="T38" s="50">
        <v>0</v>
      </c>
      <c r="U38" s="50">
        <v>0</v>
      </c>
      <c r="V38" s="50"/>
      <c r="W38" s="50">
        <v>4</v>
      </c>
      <c r="X38" s="50"/>
      <c r="Y38" s="50"/>
      <c r="Z38" s="50"/>
      <c r="AA38" s="50">
        <v>2</v>
      </c>
      <c r="AB38" s="50">
        <v>0</v>
      </c>
      <c r="AC38" s="50">
        <v>0</v>
      </c>
      <c r="AD38" s="50">
        <v>0</v>
      </c>
      <c r="AE38" s="50">
        <v>3</v>
      </c>
      <c r="AF38" s="50">
        <v>0</v>
      </c>
      <c r="AG38" s="50">
        <v>0</v>
      </c>
      <c r="AH38" s="50">
        <v>0</v>
      </c>
      <c r="AI38" s="50"/>
      <c r="AJ38" s="50"/>
      <c r="AK38" s="50"/>
      <c r="AL38" s="50"/>
      <c r="AM38" s="50">
        <v>2</v>
      </c>
    </row>
    <row r="39" spans="1:39" ht="21.5" thickBot="1" x14ac:dyDescent="0.55000000000000004">
      <c r="A39" s="49" t="s">
        <v>269</v>
      </c>
      <c r="B39" s="53" t="str">
        <f t="shared" si="4"/>
        <v xml:space="preserve"> R14  ROOMAN CITY</v>
      </c>
      <c r="C39" s="53" t="s">
        <v>320</v>
      </c>
      <c r="D39" s="53" t="str">
        <f t="shared" si="1"/>
        <v>03000000039</v>
      </c>
      <c r="E39" s="59"/>
      <c r="F39" s="57">
        <f t="shared" si="2"/>
        <v>2340</v>
      </c>
      <c r="G39" s="57">
        <v>60</v>
      </c>
      <c r="H39" s="57">
        <f t="shared" si="3"/>
        <v>39</v>
      </c>
      <c r="I39" s="55">
        <v>0</v>
      </c>
      <c r="J39" s="50">
        <v>0</v>
      </c>
      <c r="K39" s="50">
        <v>0</v>
      </c>
      <c r="L39" s="50">
        <v>0</v>
      </c>
      <c r="M39" s="50">
        <v>5</v>
      </c>
      <c r="N39" s="50">
        <v>0</v>
      </c>
      <c r="O39" s="50">
        <v>0</v>
      </c>
      <c r="P39" s="50">
        <v>5</v>
      </c>
      <c r="Q39" s="50">
        <v>0</v>
      </c>
      <c r="R39" s="50">
        <v>0</v>
      </c>
      <c r="S39" s="50">
        <v>5</v>
      </c>
      <c r="T39" s="50">
        <v>0</v>
      </c>
      <c r="U39" s="50">
        <v>0</v>
      </c>
      <c r="V39" s="50"/>
      <c r="W39" s="50">
        <v>5</v>
      </c>
      <c r="X39" s="50"/>
      <c r="Y39" s="50"/>
      <c r="Z39" s="50"/>
      <c r="AA39" s="50">
        <v>5</v>
      </c>
      <c r="AB39" s="50">
        <v>0</v>
      </c>
      <c r="AC39" s="50">
        <v>0</v>
      </c>
      <c r="AD39" s="50">
        <v>0</v>
      </c>
      <c r="AE39" s="50">
        <v>5</v>
      </c>
      <c r="AF39" s="50">
        <v>0</v>
      </c>
      <c r="AG39" s="50">
        <v>0</v>
      </c>
      <c r="AH39" s="50">
        <v>4</v>
      </c>
      <c r="AI39" s="50"/>
      <c r="AJ39" s="50"/>
      <c r="AK39" s="50"/>
      <c r="AL39" s="50"/>
      <c r="AM39" s="50">
        <v>5</v>
      </c>
    </row>
    <row r="40" spans="1:39" ht="21.5" thickBot="1" x14ac:dyDescent="0.55000000000000004">
      <c r="A40" s="49" t="s">
        <v>270</v>
      </c>
      <c r="B40" s="53" t="str">
        <f t="shared" si="4"/>
        <v xml:space="preserve"> R 101   ROOMAN CITY</v>
      </c>
      <c r="C40" s="53" t="s">
        <v>321</v>
      </c>
      <c r="D40" s="53" t="str">
        <f t="shared" si="1"/>
        <v>03000000040</v>
      </c>
      <c r="E40" s="59"/>
      <c r="F40" s="57">
        <f t="shared" si="2"/>
        <v>720</v>
      </c>
      <c r="G40" s="57">
        <v>60</v>
      </c>
      <c r="H40" s="57">
        <f t="shared" si="3"/>
        <v>12</v>
      </c>
      <c r="I40" s="55">
        <v>0</v>
      </c>
      <c r="J40" s="50">
        <v>0</v>
      </c>
      <c r="K40" s="50">
        <v>2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/>
      <c r="W40" s="50"/>
      <c r="X40" s="50">
        <v>2</v>
      </c>
      <c r="Y40" s="50"/>
      <c r="Z40" s="50"/>
      <c r="AA40" s="50">
        <v>2</v>
      </c>
      <c r="AB40" s="50">
        <v>0</v>
      </c>
      <c r="AC40" s="50">
        <v>0</v>
      </c>
      <c r="AD40" s="50">
        <v>0</v>
      </c>
      <c r="AE40" s="50">
        <v>2</v>
      </c>
      <c r="AF40" s="50">
        <v>0</v>
      </c>
      <c r="AG40" s="50">
        <v>0</v>
      </c>
      <c r="AH40" s="50">
        <v>2</v>
      </c>
      <c r="AI40" s="50"/>
      <c r="AJ40" s="50"/>
      <c r="AK40" s="50"/>
      <c r="AL40" s="50"/>
      <c r="AM40" s="50">
        <v>2</v>
      </c>
    </row>
    <row r="41" spans="1:39" ht="21.5" thickBot="1" x14ac:dyDescent="0.55000000000000004">
      <c r="A41" s="49" t="s">
        <v>271</v>
      </c>
      <c r="B41" s="53" t="str">
        <f t="shared" si="4"/>
        <v xml:space="preserve"> MUSHTAQ SOOMRO</v>
      </c>
      <c r="C41" s="53"/>
      <c r="D41" s="53" t="str">
        <f t="shared" si="1"/>
        <v>03000000041</v>
      </c>
      <c r="E41" s="59"/>
      <c r="F41" s="57">
        <f t="shared" si="2"/>
        <v>600</v>
      </c>
      <c r="G41" s="57">
        <v>60</v>
      </c>
      <c r="H41" s="57">
        <f t="shared" si="3"/>
        <v>10</v>
      </c>
      <c r="I41" s="55">
        <v>1</v>
      </c>
      <c r="J41" s="50">
        <v>0</v>
      </c>
      <c r="K41" s="50">
        <v>1</v>
      </c>
      <c r="L41" s="50">
        <v>0</v>
      </c>
      <c r="M41" s="50">
        <v>0</v>
      </c>
      <c r="N41" s="50">
        <v>0</v>
      </c>
      <c r="O41" s="50">
        <v>1</v>
      </c>
      <c r="P41" s="50">
        <v>0</v>
      </c>
      <c r="Q41" s="50">
        <v>0</v>
      </c>
      <c r="R41" s="50">
        <v>1</v>
      </c>
      <c r="S41" s="50">
        <v>0</v>
      </c>
      <c r="T41" s="50">
        <v>0</v>
      </c>
      <c r="U41" s="50">
        <v>0</v>
      </c>
      <c r="V41" s="50">
        <v>1</v>
      </c>
      <c r="W41" s="50"/>
      <c r="X41" s="50"/>
      <c r="Y41" s="50">
        <v>1</v>
      </c>
      <c r="Z41" s="50"/>
      <c r="AA41" s="50"/>
      <c r="AB41" s="50">
        <v>1</v>
      </c>
      <c r="AC41" s="50">
        <v>0</v>
      </c>
      <c r="AD41" s="50">
        <v>1</v>
      </c>
      <c r="AE41" s="50">
        <v>0</v>
      </c>
      <c r="AF41" s="50">
        <v>0</v>
      </c>
      <c r="AG41" s="50">
        <v>0</v>
      </c>
      <c r="AH41" s="50">
        <v>0</v>
      </c>
      <c r="AI41" s="50"/>
      <c r="AJ41" s="50"/>
      <c r="AK41" s="50"/>
      <c r="AL41" s="50"/>
      <c r="AM41" s="50">
        <v>2</v>
      </c>
    </row>
    <row r="42" spans="1:39" ht="21.5" thickBot="1" x14ac:dyDescent="0.55000000000000004">
      <c r="A42" s="49" t="s">
        <v>272</v>
      </c>
      <c r="B42" s="53" t="str">
        <f t="shared" si="4"/>
        <v xml:space="preserve"> B -1100 STEEL TOWN</v>
      </c>
      <c r="C42" s="53" t="s">
        <v>315</v>
      </c>
      <c r="D42" s="53" t="str">
        <f t="shared" si="1"/>
        <v>03000000042</v>
      </c>
      <c r="E42" s="59"/>
      <c r="F42" s="57">
        <f t="shared" si="2"/>
        <v>360</v>
      </c>
      <c r="G42" s="57">
        <v>60</v>
      </c>
      <c r="H42" s="57">
        <v>3</v>
      </c>
      <c r="I42" s="55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3</v>
      </c>
      <c r="U42" s="50">
        <v>0</v>
      </c>
      <c r="V42" s="50"/>
      <c r="W42" s="50"/>
      <c r="X42" s="50"/>
      <c r="Y42" s="50"/>
      <c r="Z42" s="50"/>
      <c r="AA42" s="50"/>
      <c r="AB42" s="50">
        <v>0</v>
      </c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>
        <v>3</v>
      </c>
    </row>
    <row r="43" spans="1:39" ht="21.5" thickBot="1" x14ac:dyDescent="0.55000000000000004">
      <c r="A43" s="49" t="s">
        <v>273</v>
      </c>
      <c r="B43" s="53" t="str">
        <f t="shared" si="4"/>
        <v xml:space="preserve">  GHULAM ALI RIND</v>
      </c>
      <c r="C43" s="53"/>
      <c r="D43" s="53" t="str">
        <f t="shared" si="1"/>
        <v>03000000043</v>
      </c>
      <c r="E43" s="59"/>
      <c r="F43" s="57">
        <f t="shared" si="2"/>
        <v>360</v>
      </c>
      <c r="G43" s="57">
        <v>60</v>
      </c>
      <c r="H43" s="57">
        <f t="shared" si="3"/>
        <v>6</v>
      </c>
      <c r="I43" s="55">
        <v>1</v>
      </c>
      <c r="J43" s="50">
        <v>0</v>
      </c>
      <c r="K43" s="50">
        <v>0</v>
      </c>
      <c r="L43" s="50">
        <v>1</v>
      </c>
      <c r="M43" s="50">
        <v>1</v>
      </c>
      <c r="N43" s="50">
        <v>0</v>
      </c>
      <c r="O43" s="50">
        <v>1</v>
      </c>
      <c r="P43" s="50">
        <v>0</v>
      </c>
      <c r="Q43" s="50">
        <v>1</v>
      </c>
      <c r="R43" s="50">
        <v>1</v>
      </c>
      <c r="S43" s="50">
        <v>0</v>
      </c>
      <c r="T43" s="50">
        <v>0</v>
      </c>
      <c r="U43" s="50">
        <v>0</v>
      </c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</row>
    <row r="44" spans="1:39" ht="21.5" thickBot="1" x14ac:dyDescent="0.55000000000000004">
      <c r="A44" s="49" t="s">
        <v>274</v>
      </c>
      <c r="B44" s="53" t="str">
        <f t="shared" si="4"/>
        <v xml:space="preserve">      SHABIR ALI </v>
      </c>
      <c r="C44" s="53"/>
      <c r="D44" s="53" t="str">
        <f t="shared" si="1"/>
        <v>03000000044</v>
      </c>
      <c r="E44" s="59"/>
      <c r="F44" s="57">
        <f>SUM(I44:AM44)*G44</f>
        <v>360</v>
      </c>
      <c r="G44" s="57">
        <v>60</v>
      </c>
      <c r="H44" s="57">
        <f t="shared" si="3"/>
        <v>6</v>
      </c>
      <c r="I44" s="55">
        <v>1</v>
      </c>
      <c r="J44" s="50">
        <v>0</v>
      </c>
      <c r="K44" s="50">
        <v>0</v>
      </c>
      <c r="L44" s="50">
        <v>1</v>
      </c>
      <c r="M44" s="50">
        <v>0</v>
      </c>
      <c r="N44" s="50">
        <v>0</v>
      </c>
      <c r="O44" s="50">
        <v>0</v>
      </c>
      <c r="P44" s="50">
        <v>1</v>
      </c>
      <c r="Q44" s="50">
        <v>0</v>
      </c>
      <c r="R44" s="50">
        <v>0</v>
      </c>
      <c r="S44" s="50">
        <v>0</v>
      </c>
      <c r="T44" s="50">
        <v>0</v>
      </c>
      <c r="U44" s="50">
        <v>1</v>
      </c>
      <c r="V44" s="50"/>
      <c r="W44" s="50"/>
      <c r="X44" s="50"/>
      <c r="Y44" s="50"/>
      <c r="Z44" s="50">
        <v>1</v>
      </c>
      <c r="AA44" s="50"/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50">
        <v>1</v>
      </c>
      <c r="AH44" s="50">
        <v>0</v>
      </c>
      <c r="AI44" s="50"/>
      <c r="AJ44" s="50"/>
      <c r="AK44" s="50"/>
      <c r="AL44" s="50"/>
      <c r="AM44" s="50"/>
    </row>
    <row r="45" spans="1:39" ht="21.5" thickBot="1" x14ac:dyDescent="0.55000000000000004">
      <c r="A45" s="49" t="s">
        <v>275</v>
      </c>
      <c r="B45" s="53" t="str">
        <f t="shared" si="4"/>
        <v xml:space="preserve">     R 202  G /NUMBER</v>
      </c>
      <c r="C45" s="53" t="s">
        <v>314</v>
      </c>
      <c r="D45" s="53" t="str">
        <f t="shared" si="1"/>
        <v>03000000045</v>
      </c>
      <c r="E45" s="59"/>
      <c r="F45" s="57">
        <f t="shared" si="2"/>
        <v>240</v>
      </c>
      <c r="G45" s="57">
        <v>60</v>
      </c>
      <c r="H45" s="57">
        <f t="shared" si="3"/>
        <v>4</v>
      </c>
      <c r="I45" s="55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/>
      <c r="W45" s="50"/>
      <c r="X45" s="50"/>
      <c r="Y45" s="50">
        <v>4</v>
      </c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</row>
    <row r="46" spans="1:39" ht="21.5" thickBot="1" x14ac:dyDescent="0.55000000000000004">
      <c r="A46" s="49" t="s">
        <v>276</v>
      </c>
      <c r="B46" s="53" t="str">
        <f t="shared" si="4"/>
        <v xml:space="preserve">         MUNIR  HUSSAIN</v>
      </c>
      <c r="C46" s="53"/>
      <c r="D46" s="53" t="str">
        <f t="shared" si="1"/>
        <v>03000000046</v>
      </c>
      <c r="E46" s="59"/>
      <c r="F46" s="57">
        <f t="shared" si="2"/>
        <v>720</v>
      </c>
      <c r="G46" s="57">
        <v>60</v>
      </c>
      <c r="H46" s="57">
        <f t="shared" si="3"/>
        <v>12</v>
      </c>
      <c r="I46" s="55">
        <v>0</v>
      </c>
      <c r="J46" s="50">
        <v>1</v>
      </c>
      <c r="K46" s="50">
        <v>0</v>
      </c>
      <c r="L46" s="50">
        <v>1</v>
      </c>
      <c r="M46" s="50">
        <v>0</v>
      </c>
      <c r="N46" s="50">
        <v>1</v>
      </c>
      <c r="O46" s="50">
        <v>0</v>
      </c>
      <c r="P46" s="50">
        <v>1</v>
      </c>
      <c r="Q46" s="50">
        <v>0</v>
      </c>
      <c r="R46" s="50">
        <v>1</v>
      </c>
      <c r="S46" s="50">
        <v>0</v>
      </c>
      <c r="T46" s="50">
        <v>1</v>
      </c>
      <c r="U46" s="50">
        <v>0</v>
      </c>
      <c r="V46" s="50">
        <v>1</v>
      </c>
      <c r="W46" s="50"/>
      <c r="X46" s="50">
        <v>1</v>
      </c>
      <c r="Y46" s="50"/>
      <c r="Z46" s="50">
        <v>1</v>
      </c>
      <c r="AA46" s="50"/>
      <c r="AB46" s="50">
        <v>1</v>
      </c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>
        <v>2</v>
      </c>
    </row>
    <row r="47" spans="1:39" ht="21.5" thickBot="1" x14ac:dyDescent="0.55000000000000004">
      <c r="A47" s="49" t="s">
        <v>277</v>
      </c>
      <c r="B47" s="53" t="str">
        <f t="shared" si="4"/>
        <v xml:space="preserve">      DR MEMON</v>
      </c>
      <c r="C47" s="53"/>
      <c r="D47" s="53" t="str">
        <f t="shared" si="1"/>
        <v>03000000047</v>
      </c>
      <c r="E47" s="59"/>
      <c r="F47" s="57">
        <f t="shared" si="2"/>
        <v>540</v>
      </c>
      <c r="G47" s="57">
        <v>60</v>
      </c>
      <c r="H47" s="57">
        <f t="shared" si="3"/>
        <v>9</v>
      </c>
      <c r="I47" s="55">
        <v>0</v>
      </c>
      <c r="J47" s="50">
        <v>0</v>
      </c>
      <c r="K47" s="50">
        <v>1</v>
      </c>
      <c r="L47" s="50">
        <v>0</v>
      </c>
      <c r="M47" s="50">
        <v>0</v>
      </c>
      <c r="N47" s="50">
        <v>1</v>
      </c>
      <c r="O47" s="50">
        <v>0</v>
      </c>
      <c r="P47" s="50">
        <v>1</v>
      </c>
      <c r="Q47" s="50">
        <v>0</v>
      </c>
      <c r="R47" s="50">
        <v>0</v>
      </c>
      <c r="S47" s="50">
        <v>1</v>
      </c>
      <c r="T47" s="50">
        <v>0</v>
      </c>
      <c r="U47" s="50">
        <v>0</v>
      </c>
      <c r="V47" s="50">
        <v>1</v>
      </c>
      <c r="W47" s="50"/>
      <c r="X47" s="50"/>
      <c r="Y47" s="50"/>
      <c r="Z47" s="50"/>
      <c r="AA47" s="50">
        <v>1</v>
      </c>
      <c r="AB47" s="50"/>
      <c r="AC47" s="50"/>
      <c r="AD47" s="50">
        <v>1</v>
      </c>
      <c r="AE47" s="50"/>
      <c r="AF47" s="50">
        <v>1</v>
      </c>
      <c r="AG47" s="50">
        <v>1</v>
      </c>
      <c r="AH47" s="50"/>
      <c r="AI47" s="50"/>
      <c r="AJ47" s="50"/>
      <c r="AK47" s="50"/>
      <c r="AL47" s="50"/>
      <c r="AM47" s="50"/>
    </row>
    <row r="48" spans="1:39" ht="21.5" thickBot="1" x14ac:dyDescent="0.55000000000000004">
      <c r="A48" s="49" t="s">
        <v>278</v>
      </c>
      <c r="B48" s="53" t="str">
        <f t="shared" si="4"/>
        <v xml:space="preserve">         R-365</v>
      </c>
      <c r="C48" s="53" t="s">
        <v>313</v>
      </c>
      <c r="D48" s="53" t="str">
        <f t="shared" si="1"/>
        <v>03000000048</v>
      </c>
      <c r="E48" s="59"/>
      <c r="F48" s="57">
        <f t="shared" si="2"/>
        <v>1560</v>
      </c>
      <c r="G48" s="57">
        <v>60</v>
      </c>
      <c r="H48" s="57">
        <f t="shared" si="3"/>
        <v>26</v>
      </c>
      <c r="I48" s="55">
        <v>1</v>
      </c>
      <c r="J48" s="50">
        <v>1</v>
      </c>
      <c r="K48" s="50">
        <v>0</v>
      </c>
      <c r="L48" s="50">
        <v>1</v>
      </c>
      <c r="M48" s="50">
        <v>1</v>
      </c>
      <c r="N48" s="50">
        <v>1</v>
      </c>
      <c r="O48" s="50">
        <v>1</v>
      </c>
      <c r="P48" s="50">
        <v>0</v>
      </c>
      <c r="Q48" s="50">
        <v>1</v>
      </c>
      <c r="R48" s="50">
        <v>1</v>
      </c>
      <c r="S48" s="50">
        <v>1</v>
      </c>
      <c r="T48" s="50">
        <v>1</v>
      </c>
      <c r="U48" s="50">
        <v>0</v>
      </c>
      <c r="V48" s="50">
        <v>1</v>
      </c>
      <c r="W48" s="50">
        <v>1</v>
      </c>
      <c r="X48" s="50">
        <v>1</v>
      </c>
      <c r="Y48" s="50">
        <v>1</v>
      </c>
      <c r="Z48" s="50"/>
      <c r="AA48" s="50">
        <v>1</v>
      </c>
      <c r="AB48" s="50">
        <v>1</v>
      </c>
      <c r="AC48" s="50">
        <v>1</v>
      </c>
      <c r="AD48" s="50">
        <v>1</v>
      </c>
      <c r="AE48" s="50">
        <v>1</v>
      </c>
      <c r="AF48" s="50">
        <v>1</v>
      </c>
      <c r="AG48" s="50">
        <v>1</v>
      </c>
      <c r="AH48" s="50">
        <v>1</v>
      </c>
      <c r="AI48" s="50"/>
      <c r="AJ48" s="50"/>
      <c r="AK48" s="50"/>
      <c r="AL48" s="50"/>
      <c r="AM48" s="50">
        <v>4</v>
      </c>
    </row>
    <row r="49" spans="1:39" ht="21.5" thickBot="1" x14ac:dyDescent="0.55000000000000004">
      <c r="A49" s="49" t="s">
        <v>279</v>
      </c>
      <c r="B49" s="53" t="str">
        <f t="shared" si="4"/>
        <v xml:space="preserve">          HAJI ALI SHER</v>
      </c>
      <c r="C49" s="53"/>
      <c r="D49" s="53" t="str">
        <f t="shared" si="1"/>
        <v>03103468802</v>
      </c>
      <c r="E49" s="59" t="s">
        <v>352</v>
      </c>
      <c r="F49" s="57">
        <f t="shared" si="2"/>
        <v>2280</v>
      </c>
      <c r="G49" s="57">
        <v>60</v>
      </c>
      <c r="H49" s="57">
        <f t="shared" si="3"/>
        <v>38</v>
      </c>
      <c r="I49" s="55">
        <v>1</v>
      </c>
      <c r="J49" s="50">
        <v>0</v>
      </c>
      <c r="K49" s="50">
        <v>1</v>
      </c>
      <c r="L49" s="50">
        <v>1</v>
      </c>
      <c r="M49" s="50">
        <v>0</v>
      </c>
      <c r="N49" s="50">
        <v>1</v>
      </c>
      <c r="O49" s="50">
        <v>1</v>
      </c>
      <c r="P49" s="50">
        <v>2</v>
      </c>
      <c r="Q49" s="50">
        <v>1</v>
      </c>
      <c r="R49" s="50">
        <v>1</v>
      </c>
      <c r="S49" s="50">
        <v>1</v>
      </c>
      <c r="T49" s="50">
        <v>1</v>
      </c>
      <c r="U49" s="50">
        <v>2</v>
      </c>
      <c r="V49" s="50">
        <v>2</v>
      </c>
      <c r="W49" s="50">
        <v>2</v>
      </c>
      <c r="X49" s="50"/>
      <c r="Y49" s="50">
        <v>2</v>
      </c>
      <c r="Z49" s="50"/>
      <c r="AA49" s="50">
        <v>2</v>
      </c>
      <c r="AB49" s="50">
        <v>2</v>
      </c>
      <c r="AC49" s="50"/>
      <c r="AD49" s="50">
        <v>2</v>
      </c>
      <c r="AE49" s="50">
        <v>1</v>
      </c>
      <c r="AF49" s="50">
        <v>1</v>
      </c>
      <c r="AG49" s="50">
        <v>1</v>
      </c>
      <c r="AH49" s="50">
        <v>1</v>
      </c>
      <c r="AI49" s="50"/>
      <c r="AJ49" s="50"/>
      <c r="AK49" s="50"/>
      <c r="AL49" s="50"/>
      <c r="AM49" s="50">
        <v>9</v>
      </c>
    </row>
    <row r="50" spans="1:39" ht="21.5" thickBot="1" x14ac:dyDescent="0.55000000000000004">
      <c r="A50" s="49" t="s">
        <v>280</v>
      </c>
      <c r="B50" s="53" t="str">
        <f t="shared" si="4"/>
        <v xml:space="preserve">      SALEEM CHANO</v>
      </c>
      <c r="C50" s="53"/>
      <c r="D50" s="53" t="str">
        <f t="shared" si="1"/>
        <v>03033943601</v>
      </c>
      <c r="E50" s="59" t="s">
        <v>353</v>
      </c>
      <c r="F50" s="57">
        <f t="shared" si="2"/>
        <v>780</v>
      </c>
      <c r="G50" s="57">
        <v>60</v>
      </c>
      <c r="H50" s="57">
        <f t="shared" si="3"/>
        <v>13</v>
      </c>
      <c r="I50" s="55">
        <v>1</v>
      </c>
      <c r="J50" s="50">
        <v>0</v>
      </c>
      <c r="K50" s="50">
        <v>1</v>
      </c>
      <c r="L50" s="50">
        <v>0</v>
      </c>
      <c r="M50" s="50">
        <v>0</v>
      </c>
      <c r="N50" s="50">
        <v>0</v>
      </c>
      <c r="O50" s="50">
        <v>1</v>
      </c>
      <c r="P50" s="50">
        <v>1</v>
      </c>
      <c r="Q50" s="50">
        <v>0</v>
      </c>
      <c r="R50" s="50">
        <v>0</v>
      </c>
      <c r="S50" s="50">
        <v>1</v>
      </c>
      <c r="T50" s="50">
        <v>0</v>
      </c>
      <c r="U50" s="50">
        <v>1</v>
      </c>
      <c r="V50" s="50"/>
      <c r="W50" s="50"/>
      <c r="X50" s="50">
        <v>1</v>
      </c>
      <c r="Y50" s="50"/>
      <c r="Z50" s="50"/>
      <c r="AA50" s="50">
        <v>1</v>
      </c>
      <c r="AB50" s="50"/>
      <c r="AC50" s="50">
        <v>1</v>
      </c>
      <c r="AD50" s="50"/>
      <c r="AE50" s="50">
        <v>1</v>
      </c>
      <c r="AF50" s="50"/>
      <c r="AG50" s="50"/>
      <c r="AH50" s="50">
        <v>1</v>
      </c>
      <c r="AI50" s="50"/>
      <c r="AJ50" s="50"/>
      <c r="AK50" s="50"/>
      <c r="AL50" s="50"/>
      <c r="AM50" s="50">
        <v>2</v>
      </c>
    </row>
    <row r="51" spans="1:39" ht="21.5" thickBot="1" x14ac:dyDescent="0.55000000000000004">
      <c r="A51" s="49" t="s">
        <v>342</v>
      </c>
      <c r="B51" s="53" t="str">
        <f t="shared" si="4"/>
        <v>AAMIR BIROHI</v>
      </c>
      <c r="C51" s="53"/>
      <c r="D51" s="53" t="str">
        <f t="shared" si="1"/>
        <v>03000000051</v>
      </c>
      <c r="E51" s="59"/>
      <c r="F51" s="57">
        <f t="shared" si="2"/>
        <v>1980</v>
      </c>
      <c r="G51" s="57">
        <v>60</v>
      </c>
      <c r="H51" s="57">
        <f t="shared" si="3"/>
        <v>33</v>
      </c>
      <c r="I51" s="55">
        <v>2</v>
      </c>
      <c r="J51" s="50">
        <v>0</v>
      </c>
      <c r="K51" s="50">
        <v>1</v>
      </c>
      <c r="L51" s="50">
        <v>3</v>
      </c>
      <c r="M51" s="50">
        <v>0</v>
      </c>
      <c r="N51" s="50">
        <v>1</v>
      </c>
      <c r="O51" s="50">
        <v>0</v>
      </c>
      <c r="P51" s="50">
        <v>3</v>
      </c>
      <c r="Q51" s="50">
        <v>0</v>
      </c>
      <c r="R51" s="50">
        <v>2</v>
      </c>
      <c r="S51" s="50">
        <v>0</v>
      </c>
      <c r="T51" s="50">
        <v>2</v>
      </c>
      <c r="U51" s="50">
        <v>0</v>
      </c>
      <c r="V51" s="50">
        <v>2</v>
      </c>
      <c r="W51" s="50">
        <v>0</v>
      </c>
      <c r="X51" s="50">
        <v>3</v>
      </c>
      <c r="Y51" s="50">
        <v>0</v>
      </c>
      <c r="Z51" s="50">
        <v>2</v>
      </c>
      <c r="AA51" s="50"/>
      <c r="AB51" s="50"/>
      <c r="AC51" s="50">
        <v>1</v>
      </c>
      <c r="AD51" s="50">
        <v>1</v>
      </c>
      <c r="AE51" s="50"/>
      <c r="AF51" s="50">
        <v>3</v>
      </c>
      <c r="AG51" s="50"/>
      <c r="AH51" s="50">
        <v>2</v>
      </c>
      <c r="AI51" s="50"/>
      <c r="AJ51" s="50"/>
      <c r="AK51" s="50"/>
      <c r="AL51" s="50"/>
      <c r="AM51" s="50">
        <v>5</v>
      </c>
    </row>
    <row r="52" spans="1:39" ht="21.5" thickBot="1" x14ac:dyDescent="0.55000000000000004">
      <c r="A52" s="49" t="s">
        <v>337</v>
      </c>
      <c r="B52" s="53" t="str">
        <f t="shared" si="4"/>
        <v xml:space="preserve">       WISDUM SCHOOL</v>
      </c>
      <c r="C52" s="53"/>
      <c r="D52" s="53" t="str">
        <f t="shared" si="1"/>
        <v>03000000052</v>
      </c>
      <c r="E52" s="59"/>
      <c r="F52" s="57">
        <f t="shared" si="2"/>
        <v>2220</v>
      </c>
      <c r="G52" s="57">
        <v>60</v>
      </c>
      <c r="H52" s="57">
        <f t="shared" si="3"/>
        <v>37</v>
      </c>
      <c r="I52" s="55">
        <v>0</v>
      </c>
      <c r="J52" s="50">
        <v>2</v>
      </c>
      <c r="K52" s="50">
        <v>0</v>
      </c>
      <c r="L52" s="50">
        <v>0</v>
      </c>
      <c r="M52" s="50">
        <v>1</v>
      </c>
      <c r="N52" s="50">
        <v>1</v>
      </c>
      <c r="O52" s="50">
        <v>1</v>
      </c>
      <c r="P52" s="50">
        <v>2</v>
      </c>
      <c r="Q52" s="50">
        <v>2</v>
      </c>
      <c r="R52" s="50">
        <v>0</v>
      </c>
      <c r="S52" s="50">
        <v>0</v>
      </c>
      <c r="T52" s="50">
        <v>2</v>
      </c>
      <c r="U52" s="50">
        <v>2</v>
      </c>
      <c r="V52" s="50"/>
      <c r="W52" s="50">
        <v>2</v>
      </c>
      <c r="X52" s="50">
        <v>2</v>
      </c>
      <c r="Y52" s="50"/>
      <c r="Z52" s="50"/>
      <c r="AA52" s="50">
        <v>2</v>
      </c>
      <c r="AB52" s="50">
        <v>2</v>
      </c>
      <c r="AC52" s="50">
        <v>2</v>
      </c>
      <c r="AD52" s="50">
        <v>2</v>
      </c>
      <c r="AE52" s="50">
        <v>2</v>
      </c>
      <c r="AF52" s="50">
        <v>0</v>
      </c>
      <c r="AG52" s="50">
        <v>0</v>
      </c>
      <c r="AH52" s="50">
        <v>2</v>
      </c>
      <c r="AI52" s="50"/>
      <c r="AJ52" s="50"/>
      <c r="AK52" s="50"/>
      <c r="AL52" s="50"/>
      <c r="AM52" s="50">
        <v>8</v>
      </c>
    </row>
    <row r="53" spans="1:39" ht="21.5" thickBot="1" x14ac:dyDescent="0.55000000000000004">
      <c r="A53" s="49" t="s">
        <v>336</v>
      </c>
      <c r="B53" s="53" t="str">
        <f t="shared" si="4"/>
        <v xml:space="preserve">   IMTIAZ  CHANDTIO </v>
      </c>
      <c r="C53" s="53" t="s">
        <v>312</v>
      </c>
      <c r="D53" s="53" t="str">
        <f t="shared" si="1"/>
        <v>03000000053</v>
      </c>
      <c r="E53" s="59"/>
      <c r="F53" s="57">
        <f t="shared" si="2"/>
        <v>840</v>
      </c>
      <c r="G53" s="57">
        <v>60</v>
      </c>
      <c r="H53" s="57">
        <f t="shared" si="3"/>
        <v>14</v>
      </c>
      <c r="I53" s="55">
        <v>0</v>
      </c>
      <c r="J53" s="50">
        <v>1</v>
      </c>
      <c r="K53" s="50">
        <v>0</v>
      </c>
      <c r="L53" s="50">
        <v>0</v>
      </c>
      <c r="M53" s="50">
        <v>1</v>
      </c>
      <c r="N53" s="50">
        <v>1</v>
      </c>
      <c r="O53" s="50">
        <v>0</v>
      </c>
      <c r="P53" s="50">
        <v>1</v>
      </c>
      <c r="Q53" s="50">
        <v>0</v>
      </c>
      <c r="R53" s="50">
        <v>1</v>
      </c>
      <c r="S53" s="50">
        <v>0</v>
      </c>
      <c r="T53" s="50">
        <v>1</v>
      </c>
      <c r="U53" s="50">
        <v>0</v>
      </c>
      <c r="V53" s="50">
        <v>1</v>
      </c>
      <c r="W53" s="50"/>
      <c r="X53" s="50"/>
      <c r="Y53" s="50"/>
      <c r="Z53" s="50">
        <v>1</v>
      </c>
      <c r="AA53" s="50"/>
      <c r="AB53" s="50">
        <v>1</v>
      </c>
      <c r="AC53" s="50"/>
      <c r="AD53" s="50">
        <v>1</v>
      </c>
      <c r="AE53" s="50"/>
      <c r="AF53" s="50">
        <v>1</v>
      </c>
      <c r="AG53" s="50"/>
      <c r="AH53" s="50">
        <v>1</v>
      </c>
      <c r="AI53" s="50"/>
      <c r="AJ53" s="50"/>
      <c r="AK53" s="50"/>
      <c r="AL53" s="50"/>
      <c r="AM53" s="50">
        <v>2</v>
      </c>
    </row>
    <row r="54" spans="1:39" ht="21.5" thickBot="1" x14ac:dyDescent="0.55000000000000004">
      <c r="A54" s="49" t="s">
        <v>287</v>
      </c>
      <c r="B54" s="53" t="str">
        <f t="shared" si="4"/>
        <v xml:space="preserve">  M YASEEN</v>
      </c>
      <c r="C54" s="53"/>
      <c r="D54" s="53" t="str">
        <f t="shared" si="1"/>
        <v>03283261450</v>
      </c>
      <c r="E54" s="59" t="s">
        <v>354</v>
      </c>
      <c r="F54" s="57">
        <f t="shared" si="2"/>
        <v>1140</v>
      </c>
      <c r="G54" s="57">
        <v>60</v>
      </c>
      <c r="H54" s="57">
        <f t="shared" si="3"/>
        <v>19</v>
      </c>
      <c r="I54" s="55">
        <v>1</v>
      </c>
      <c r="J54" s="50">
        <v>1</v>
      </c>
      <c r="K54" s="50">
        <v>1</v>
      </c>
      <c r="L54" s="50">
        <v>1</v>
      </c>
      <c r="M54" s="50">
        <v>0</v>
      </c>
      <c r="N54" s="50">
        <v>0</v>
      </c>
      <c r="O54" s="50">
        <v>1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0</v>
      </c>
      <c r="V54" s="50"/>
      <c r="W54" s="50">
        <v>1</v>
      </c>
      <c r="X54" s="50"/>
      <c r="Y54" s="50">
        <v>1</v>
      </c>
      <c r="Z54" s="50">
        <v>1</v>
      </c>
      <c r="AA54" s="50">
        <v>1</v>
      </c>
      <c r="AB54" s="50">
        <v>1</v>
      </c>
      <c r="AC54" s="50">
        <v>1</v>
      </c>
      <c r="AD54" s="50">
        <v>1</v>
      </c>
      <c r="AE54" s="50">
        <v>1</v>
      </c>
      <c r="AF54" s="50">
        <v>1</v>
      </c>
      <c r="AG54" s="50">
        <v>1</v>
      </c>
      <c r="AH54" s="50">
        <v>1</v>
      </c>
      <c r="AI54" s="50"/>
      <c r="AJ54" s="50"/>
      <c r="AK54" s="50"/>
      <c r="AL54" s="50"/>
      <c r="AM54" s="50">
        <v>3</v>
      </c>
    </row>
    <row r="55" spans="1:39" ht="21.5" thickBot="1" x14ac:dyDescent="0.55000000000000004">
      <c r="A55" s="49" t="s">
        <v>288</v>
      </c>
      <c r="B55" s="53" t="str">
        <f t="shared" si="4"/>
        <v>MUHSEN  NO 1</v>
      </c>
      <c r="C55" s="53"/>
      <c r="D55" s="53" t="str">
        <f t="shared" si="1"/>
        <v>03000000055</v>
      </c>
      <c r="E55" s="59"/>
      <c r="F55" s="57">
        <f t="shared" si="2"/>
        <v>840</v>
      </c>
      <c r="G55" s="57">
        <v>60</v>
      </c>
      <c r="H55" s="57">
        <f t="shared" si="3"/>
        <v>14</v>
      </c>
      <c r="I55" s="55">
        <v>0</v>
      </c>
      <c r="J55" s="50">
        <v>0</v>
      </c>
      <c r="K55" s="50">
        <v>1</v>
      </c>
      <c r="L55" s="50">
        <v>0</v>
      </c>
      <c r="M55" s="50">
        <v>1</v>
      </c>
      <c r="N55" s="50">
        <v>0</v>
      </c>
      <c r="O55" s="50">
        <v>1</v>
      </c>
      <c r="P55" s="50">
        <v>0</v>
      </c>
      <c r="Q55" s="50">
        <v>0</v>
      </c>
      <c r="R55" s="50">
        <v>1</v>
      </c>
      <c r="S55" s="50">
        <v>0</v>
      </c>
      <c r="T55" s="50">
        <v>1</v>
      </c>
      <c r="U55" s="50">
        <v>1</v>
      </c>
      <c r="V55" s="50"/>
      <c r="W55" s="50">
        <v>1</v>
      </c>
      <c r="X55" s="50"/>
      <c r="Y55" s="50">
        <v>1</v>
      </c>
      <c r="Z55" s="50"/>
      <c r="AA55" s="50">
        <v>1</v>
      </c>
      <c r="AB55" s="50"/>
      <c r="AC55" s="50">
        <v>1</v>
      </c>
      <c r="AD55" s="50"/>
      <c r="AE55" s="50">
        <v>1</v>
      </c>
      <c r="AF55" s="50"/>
      <c r="AG55" s="50"/>
      <c r="AH55" s="50">
        <v>1</v>
      </c>
      <c r="AI55" s="50"/>
      <c r="AJ55" s="50"/>
      <c r="AK55" s="50"/>
      <c r="AL55" s="50"/>
      <c r="AM55" s="50">
        <v>2</v>
      </c>
    </row>
    <row r="56" spans="1:39" ht="21.5" thickBot="1" x14ac:dyDescent="0.55000000000000004">
      <c r="A56" s="49" t="s">
        <v>289</v>
      </c>
      <c r="B56" s="53" t="str">
        <f t="shared" si="4"/>
        <v xml:space="preserve"> MOHSEN  2</v>
      </c>
      <c r="C56" s="53"/>
      <c r="D56" s="53" t="str">
        <f t="shared" si="1"/>
        <v>03000000056</v>
      </c>
      <c r="E56" s="59"/>
      <c r="F56" s="57">
        <f t="shared" si="2"/>
        <v>780</v>
      </c>
      <c r="G56" s="57">
        <v>60</v>
      </c>
      <c r="H56" s="57">
        <f t="shared" si="3"/>
        <v>13</v>
      </c>
      <c r="I56" s="55">
        <v>1</v>
      </c>
      <c r="J56" s="50">
        <v>0</v>
      </c>
      <c r="K56" s="50">
        <v>0</v>
      </c>
      <c r="L56" s="50">
        <v>1</v>
      </c>
      <c r="M56" s="50">
        <v>0</v>
      </c>
      <c r="N56" s="50">
        <v>1</v>
      </c>
      <c r="O56" s="50">
        <v>0</v>
      </c>
      <c r="P56" s="50">
        <v>1</v>
      </c>
      <c r="Q56" s="50">
        <v>0</v>
      </c>
      <c r="R56" s="50">
        <v>0</v>
      </c>
      <c r="S56" s="50">
        <v>1</v>
      </c>
      <c r="T56" s="50">
        <v>0</v>
      </c>
      <c r="U56" s="50">
        <v>0</v>
      </c>
      <c r="V56" s="50">
        <v>1</v>
      </c>
      <c r="W56" s="50"/>
      <c r="X56" s="50">
        <v>1</v>
      </c>
      <c r="Y56" s="50"/>
      <c r="Z56" s="50"/>
      <c r="AA56" s="50">
        <v>1</v>
      </c>
      <c r="AB56" s="50"/>
      <c r="AC56" s="50">
        <v>1</v>
      </c>
      <c r="AD56" s="50"/>
      <c r="AE56" s="50">
        <v>1</v>
      </c>
      <c r="AF56" s="50"/>
      <c r="AG56" s="50"/>
      <c r="AH56" s="50">
        <v>1</v>
      </c>
      <c r="AI56" s="50"/>
      <c r="AJ56" s="50"/>
      <c r="AK56" s="50"/>
      <c r="AL56" s="50"/>
      <c r="AM56" s="50">
        <v>2</v>
      </c>
    </row>
    <row r="57" spans="1:39" ht="21.5" thickBot="1" x14ac:dyDescent="0.55000000000000004">
      <c r="A57" s="49" t="s">
        <v>290</v>
      </c>
      <c r="B57" s="53" t="str">
        <f t="shared" si="4"/>
        <v xml:space="preserve"> MOHSEN  3</v>
      </c>
      <c r="C57" s="53"/>
      <c r="D57" s="53" t="str">
        <f t="shared" si="1"/>
        <v>03000000057</v>
      </c>
      <c r="E57" s="59"/>
      <c r="F57" s="57">
        <f t="shared" si="2"/>
        <v>480</v>
      </c>
      <c r="G57" s="57">
        <v>60</v>
      </c>
      <c r="H57" s="57">
        <f t="shared" si="3"/>
        <v>8</v>
      </c>
      <c r="I57" s="55">
        <v>0</v>
      </c>
      <c r="J57" s="50">
        <v>0</v>
      </c>
      <c r="K57" s="50">
        <v>1</v>
      </c>
      <c r="L57" s="50">
        <v>0</v>
      </c>
      <c r="M57" s="50">
        <v>1</v>
      </c>
      <c r="N57" s="50">
        <v>0</v>
      </c>
      <c r="O57" s="50">
        <v>0</v>
      </c>
      <c r="P57" s="50">
        <v>0</v>
      </c>
      <c r="Q57" s="50">
        <v>1</v>
      </c>
      <c r="R57" s="50">
        <v>0</v>
      </c>
      <c r="S57" s="50">
        <v>0</v>
      </c>
      <c r="T57" s="50">
        <v>0</v>
      </c>
      <c r="U57" s="50">
        <v>1</v>
      </c>
      <c r="V57" s="50"/>
      <c r="W57" s="50"/>
      <c r="X57" s="50"/>
      <c r="Y57" s="50">
        <v>1</v>
      </c>
      <c r="Z57" s="50"/>
      <c r="AA57" s="50"/>
      <c r="AB57" s="50"/>
      <c r="AC57" s="50">
        <v>1</v>
      </c>
      <c r="AD57" s="50"/>
      <c r="AE57" s="50"/>
      <c r="AF57" s="50"/>
      <c r="AG57" s="50">
        <v>1</v>
      </c>
      <c r="AH57" s="50"/>
      <c r="AI57" s="50"/>
      <c r="AJ57" s="50"/>
      <c r="AK57" s="50"/>
      <c r="AL57" s="50"/>
      <c r="AM57" s="50">
        <v>1</v>
      </c>
    </row>
    <row r="58" spans="1:39" ht="21.5" thickBot="1" x14ac:dyDescent="0.55000000000000004">
      <c r="A58" s="49" t="s">
        <v>291</v>
      </c>
      <c r="B58" s="53" t="str">
        <f t="shared" si="4"/>
        <v xml:space="preserve">  SAHIL</v>
      </c>
      <c r="C58" s="53"/>
      <c r="D58" s="53" t="str">
        <f t="shared" si="1"/>
        <v>03000000058</v>
      </c>
      <c r="E58" s="59"/>
      <c r="F58" s="57">
        <f t="shared" si="2"/>
        <v>300</v>
      </c>
      <c r="G58" s="57">
        <v>60</v>
      </c>
      <c r="H58" s="57">
        <f t="shared" si="3"/>
        <v>5</v>
      </c>
      <c r="I58" s="55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2</v>
      </c>
      <c r="S58" s="50">
        <v>0</v>
      </c>
      <c r="T58" s="50">
        <v>0</v>
      </c>
      <c r="U58" s="50">
        <v>0</v>
      </c>
      <c r="V58" s="50"/>
      <c r="W58" s="50"/>
      <c r="X58" s="50"/>
      <c r="Y58" s="50"/>
      <c r="Z58" s="50"/>
      <c r="AA58" s="50"/>
      <c r="AB58" s="50">
        <v>2</v>
      </c>
      <c r="AC58" s="50"/>
      <c r="AD58" s="50"/>
      <c r="AE58" s="50"/>
      <c r="AF58" s="50"/>
      <c r="AG58" s="50"/>
      <c r="AH58" s="50">
        <v>1</v>
      </c>
      <c r="AI58" s="50"/>
      <c r="AJ58" s="50"/>
      <c r="AK58" s="50"/>
      <c r="AL58" s="50"/>
      <c r="AM58" s="50"/>
    </row>
    <row r="59" spans="1:39" ht="21.5" thickBot="1" x14ac:dyDescent="0.55000000000000004">
      <c r="A59" s="49" t="s">
        <v>292</v>
      </c>
      <c r="B59" s="53" t="str">
        <f t="shared" si="4"/>
        <v xml:space="preserve">  ADNAN</v>
      </c>
      <c r="C59" s="53"/>
      <c r="D59" s="53" t="str">
        <f t="shared" si="1"/>
        <v>03000000059</v>
      </c>
      <c r="E59" s="59"/>
      <c r="F59" s="57">
        <f t="shared" si="2"/>
        <v>660</v>
      </c>
      <c r="G59" s="57">
        <v>60</v>
      </c>
      <c r="H59" s="57">
        <f t="shared" si="3"/>
        <v>11</v>
      </c>
      <c r="I59" s="55">
        <v>1</v>
      </c>
      <c r="J59" s="50">
        <v>0</v>
      </c>
      <c r="K59" s="50">
        <v>1</v>
      </c>
      <c r="L59" s="50">
        <v>0</v>
      </c>
      <c r="M59" s="50">
        <v>1</v>
      </c>
      <c r="N59" s="50">
        <v>0</v>
      </c>
      <c r="O59" s="50">
        <v>0</v>
      </c>
      <c r="P59" s="50">
        <v>1</v>
      </c>
      <c r="Q59" s="50">
        <v>0</v>
      </c>
      <c r="R59" s="50">
        <v>0</v>
      </c>
      <c r="S59" s="50">
        <v>1</v>
      </c>
      <c r="T59" s="50">
        <v>0</v>
      </c>
      <c r="U59" s="50">
        <v>0</v>
      </c>
      <c r="V59" s="50"/>
      <c r="W59" s="50">
        <v>1</v>
      </c>
      <c r="X59" s="50"/>
      <c r="Y59" s="50"/>
      <c r="Z59" s="50">
        <v>1</v>
      </c>
      <c r="AA59" s="50"/>
      <c r="AB59" s="50">
        <v>1</v>
      </c>
      <c r="AC59" s="50"/>
      <c r="AD59" s="50"/>
      <c r="AE59" s="50"/>
      <c r="AF59" s="50">
        <v>1</v>
      </c>
      <c r="AG59" s="50"/>
      <c r="AH59" s="50"/>
      <c r="AI59" s="50"/>
      <c r="AJ59" s="50"/>
      <c r="AK59" s="50"/>
      <c r="AL59" s="50"/>
      <c r="AM59" s="50">
        <v>2</v>
      </c>
    </row>
    <row r="60" spans="1:39" ht="21.5" thickBot="1" x14ac:dyDescent="0.55000000000000004">
      <c r="A60" s="49" t="s">
        <v>293</v>
      </c>
      <c r="B60" s="53" t="str">
        <f t="shared" si="4"/>
        <v xml:space="preserve">   SARFRAZ KHOKAR</v>
      </c>
      <c r="C60" s="53"/>
      <c r="D60" s="53" t="str">
        <f t="shared" si="1"/>
        <v>03000000060</v>
      </c>
      <c r="E60" s="59"/>
      <c r="F60" s="57">
        <f t="shared" si="2"/>
        <v>780</v>
      </c>
      <c r="G60" s="57">
        <v>60</v>
      </c>
      <c r="H60" s="57">
        <f t="shared" si="3"/>
        <v>13</v>
      </c>
      <c r="I60" s="55">
        <v>0</v>
      </c>
      <c r="J60" s="50">
        <v>1</v>
      </c>
      <c r="K60" s="50">
        <v>0</v>
      </c>
      <c r="L60" s="50">
        <v>1</v>
      </c>
      <c r="M60" s="50">
        <v>0</v>
      </c>
      <c r="N60" s="50">
        <v>0</v>
      </c>
      <c r="O60" s="50">
        <v>1</v>
      </c>
      <c r="P60" s="50">
        <v>0</v>
      </c>
      <c r="Q60" s="50">
        <v>0</v>
      </c>
      <c r="R60" s="50">
        <v>1</v>
      </c>
      <c r="S60" s="50">
        <v>0</v>
      </c>
      <c r="T60" s="50">
        <v>1</v>
      </c>
      <c r="U60" s="50">
        <v>0</v>
      </c>
      <c r="V60" s="50"/>
      <c r="W60" s="50"/>
      <c r="X60" s="50">
        <v>1</v>
      </c>
      <c r="Y60" s="50"/>
      <c r="Z60" s="50">
        <v>1</v>
      </c>
      <c r="AA60" s="50"/>
      <c r="AB60" s="50">
        <v>1</v>
      </c>
      <c r="AC60" s="50"/>
      <c r="AD60" s="50">
        <v>1</v>
      </c>
      <c r="AE60" s="50"/>
      <c r="AF60" s="50">
        <v>1</v>
      </c>
      <c r="AG60" s="50"/>
      <c r="AH60" s="50">
        <v>1</v>
      </c>
      <c r="AI60" s="50"/>
      <c r="AJ60" s="50"/>
      <c r="AK60" s="50"/>
      <c r="AL60" s="50"/>
      <c r="AM60" s="50">
        <v>2</v>
      </c>
    </row>
    <row r="61" spans="1:39" ht="21.5" thickBot="1" x14ac:dyDescent="0.55000000000000004">
      <c r="A61" s="49" t="s">
        <v>295</v>
      </c>
      <c r="B61" s="53" t="str">
        <f t="shared" si="4"/>
        <v xml:space="preserve">   Ali Baksh Solangi</v>
      </c>
      <c r="C61" s="53"/>
      <c r="D61" s="53" t="str">
        <f t="shared" si="1"/>
        <v>03000000061</v>
      </c>
      <c r="E61" s="59"/>
      <c r="F61" s="57">
        <f t="shared" si="2"/>
        <v>240</v>
      </c>
      <c r="G61" s="57">
        <v>60</v>
      </c>
      <c r="H61" s="57">
        <f t="shared" si="3"/>
        <v>4</v>
      </c>
      <c r="I61" s="55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>
        <v>1</v>
      </c>
      <c r="AF61" s="50"/>
      <c r="AG61" s="50">
        <v>1</v>
      </c>
      <c r="AH61" s="50"/>
      <c r="AI61" s="50"/>
      <c r="AJ61" s="50"/>
      <c r="AK61" s="50"/>
      <c r="AL61" s="50"/>
      <c r="AM61" s="50">
        <v>2</v>
      </c>
    </row>
    <row r="62" spans="1:39" ht="21.5" thickBot="1" x14ac:dyDescent="0.55000000000000004">
      <c r="A62" s="49" t="s">
        <v>338</v>
      </c>
      <c r="B62" s="53" t="str">
        <f t="shared" si="4"/>
        <v>GULSHAN CHANDIO</v>
      </c>
      <c r="C62" s="53"/>
      <c r="D62" s="53" t="str">
        <f t="shared" si="1"/>
        <v>03000000062</v>
      </c>
      <c r="E62" s="59"/>
      <c r="F62" s="57">
        <f t="shared" si="2"/>
        <v>300</v>
      </c>
      <c r="G62" s="57">
        <v>60</v>
      </c>
      <c r="H62" s="57">
        <f t="shared" si="3"/>
        <v>5</v>
      </c>
      <c r="I62" s="55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>
        <v>1</v>
      </c>
      <c r="AH62" s="50">
        <v>1</v>
      </c>
      <c r="AI62" s="50"/>
      <c r="AJ62" s="50"/>
      <c r="AK62" s="50"/>
      <c r="AL62" s="50"/>
      <c r="AM62" s="50">
        <v>3</v>
      </c>
    </row>
    <row r="63" spans="1:39" ht="21.5" thickBot="1" x14ac:dyDescent="0.55000000000000004">
      <c r="A63" s="58"/>
      <c r="B63" s="53" t="s">
        <v>297</v>
      </c>
      <c r="C63" s="53" t="s">
        <v>297</v>
      </c>
      <c r="D63" s="53" t="str">
        <f t="shared" si="1"/>
        <v>03000000063</v>
      </c>
      <c r="E63" s="59"/>
      <c r="F63" s="57">
        <f t="shared" si="2"/>
        <v>420</v>
      </c>
      <c r="G63" s="57">
        <v>60</v>
      </c>
      <c r="H63" s="57">
        <f t="shared" si="3"/>
        <v>7</v>
      </c>
      <c r="I63" s="55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>
        <v>7</v>
      </c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</row>
    <row r="64" spans="1:39" ht="21.5" thickBot="1" x14ac:dyDescent="0.55000000000000004">
      <c r="A64" s="49"/>
      <c r="B64" s="53"/>
      <c r="C64" s="53"/>
      <c r="D64" s="53"/>
      <c r="E64" s="53"/>
      <c r="F64" s="57"/>
      <c r="G64" s="57"/>
      <c r="H64" s="57"/>
      <c r="I64" s="55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</row>
    <row r="65" spans="1:39" ht="21.5" thickBot="1" x14ac:dyDescent="0.55000000000000004">
      <c r="A65" s="49"/>
      <c r="B65" s="53"/>
      <c r="C65" s="53"/>
      <c r="D65" s="53"/>
      <c r="E65" s="53"/>
      <c r="F65" s="57"/>
      <c r="G65" s="57"/>
      <c r="H65" s="57"/>
      <c r="I65" s="55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</row>
    <row r="66" spans="1:39" ht="21.5" thickBot="1" x14ac:dyDescent="0.55000000000000004">
      <c r="A66" s="49"/>
      <c r="B66" s="53"/>
      <c r="C66" s="53"/>
      <c r="D66" s="53"/>
      <c r="E66" s="53"/>
      <c r="F66" s="57"/>
      <c r="G66" s="57"/>
      <c r="H66" s="57"/>
      <c r="I66" s="55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</row>
    <row r="67" spans="1:39" ht="21.5" thickBot="1" x14ac:dyDescent="0.55000000000000004">
      <c r="A67" s="49"/>
      <c r="B67" s="53"/>
      <c r="C67" s="53"/>
      <c r="D67" s="53"/>
      <c r="E67" s="53"/>
      <c r="F67" s="57"/>
      <c r="G67" s="57"/>
      <c r="H67" s="57"/>
      <c r="I67" s="55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</row>
    <row r="68" spans="1:39" ht="21.5" thickBot="1" x14ac:dyDescent="0.55000000000000004">
      <c r="A68" s="49"/>
      <c r="B68" s="53"/>
      <c r="C68" s="53"/>
      <c r="D68" s="53"/>
      <c r="E68" s="53"/>
      <c r="F68" s="57"/>
      <c r="G68" s="57"/>
      <c r="H68" s="57"/>
      <c r="I68" s="55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</row>
    <row r="69" spans="1:39" ht="21.5" thickBot="1" x14ac:dyDescent="0.55000000000000004">
      <c r="A69" s="49"/>
      <c r="B69" s="53"/>
      <c r="C69" s="53"/>
      <c r="D69" s="53"/>
      <c r="E69" s="53"/>
      <c r="F69" s="57"/>
      <c r="G69" s="57"/>
      <c r="H69" s="57"/>
      <c r="I69" s="55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</row>
    <row r="70" spans="1:39" ht="21.5" thickBot="1" x14ac:dyDescent="0.55000000000000004">
      <c r="A70" s="49"/>
      <c r="B70" s="53"/>
      <c r="C70" s="53"/>
      <c r="D70" s="53"/>
      <c r="E70" s="53"/>
      <c r="F70" s="57"/>
      <c r="G70" s="57"/>
      <c r="H70" s="57"/>
      <c r="I70" s="55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</row>
    <row r="71" spans="1:39" ht="21.5" thickBot="1" x14ac:dyDescent="0.55000000000000004">
      <c r="A71" s="49"/>
      <c r="B71" s="53"/>
      <c r="C71" s="53"/>
      <c r="D71" s="53"/>
      <c r="E71" s="53"/>
      <c r="F71" s="57"/>
      <c r="G71" s="57"/>
      <c r="H71" s="57"/>
      <c r="I71" s="55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</row>
    <row r="72" spans="1:39" ht="21.5" thickBot="1" x14ac:dyDescent="0.55000000000000004">
      <c r="A72" s="49"/>
      <c r="B72" s="53"/>
      <c r="C72" s="53"/>
      <c r="D72" s="53"/>
      <c r="E72" s="53"/>
      <c r="F72" s="57"/>
      <c r="G72" s="57"/>
      <c r="H72" s="57"/>
      <c r="I72" s="55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</row>
    <row r="73" spans="1:39" ht="21.5" thickBot="1" x14ac:dyDescent="0.55000000000000004">
      <c r="A73" s="49"/>
      <c r="B73" s="53"/>
      <c r="C73" s="53"/>
      <c r="D73" s="53"/>
      <c r="E73" s="53"/>
      <c r="F73" s="57"/>
      <c r="G73" s="57"/>
      <c r="H73" s="57"/>
      <c r="I73" s="55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</row>
    <row r="74" spans="1:39" ht="21.5" thickBot="1" x14ac:dyDescent="0.55000000000000004">
      <c r="A74" s="49"/>
      <c r="B74" s="53"/>
      <c r="C74" s="53"/>
      <c r="D74" s="53"/>
      <c r="E74" s="53"/>
      <c r="F74" s="57"/>
      <c r="G74" s="57"/>
      <c r="H74" s="57"/>
      <c r="I74" s="55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</row>
    <row r="75" spans="1:39" ht="21.5" thickBot="1" x14ac:dyDescent="0.55000000000000004">
      <c r="A75" s="49"/>
      <c r="B75" s="53"/>
      <c r="C75" s="53"/>
      <c r="D75" s="53"/>
      <c r="E75" s="53"/>
      <c r="F75" s="57"/>
      <c r="G75" s="57"/>
      <c r="H75" s="57"/>
      <c r="I75" s="55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</row>
    <row r="76" spans="1:39" ht="21.5" thickBot="1" x14ac:dyDescent="0.55000000000000004">
      <c r="A76" s="49"/>
      <c r="B76" s="53"/>
      <c r="C76" s="53"/>
      <c r="D76" s="53"/>
      <c r="E76" s="53"/>
      <c r="F76" s="57"/>
      <c r="G76" s="57"/>
      <c r="H76" s="57"/>
      <c r="I76" s="55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</row>
    <row r="77" spans="1:39" ht="21.5" thickBot="1" x14ac:dyDescent="0.55000000000000004">
      <c r="A77" s="49"/>
      <c r="B77" s="53"/>
      <c r="C77" s="53"/>
      <c r="D77" s="53"/>
      <c r="E77" s="53"/>
      <c r="F77" s="57"/>
      <c r="G77" s="57"/>
      <c r="H77" s="57"/>
      <c r="I77" s="55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</row>
    <row r="78" spans="1:39" ht="21.5" thickBot="1" x14ac:dyDescent="0.55000000000000004">
      <c r="A78" s="49"/>
      <c r="B78" s="53"/>
      <c r="C78" s="53"/>
      <c r="D78" s="53"/>
      <c r="E78" s="53"/>
      <c r="F78" s="57"/>
      <c r="G78" s="57"/>
      <c r="H78" s="57"/>
      <c r="I78" s="55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</row>
    <row r="79" spans="1:39" ht="21.5" thickBot="1" x14ac:dyDescent="0.55000000000000004">
      <c r="A79" s="49"/>
      <c r="B79" s="53"/>
      <c r="C79" s="53"/>
      <c r="D79" s="53"/>
      <c r="E79" s="53"/>
      <c r="F79" s="57"/>
      <c r="G79" s="57"/>
      <c r="H79" s="57"/>
      <c r="I79" s="55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</row>
    <row r="80" spans="1:39" ht="21.5" thickBot="1" x14ac:dyDescent="0.55000000000000004">
      <c r="A80" s="49"/>
      <c r="B80" s="53"/>
      <c r="C80" s="53"/>
      <c r="D80" s="53"/>
      <c r="E80" s="53"/>
      <c r="F80" s="57"/>
      <c r="G80" s="57"/>
      <c r="H80" s="57"/>
      <c r="I80" s="55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</row>
    <row r="81" spans="1:39" ht="21.5" thickBot="1" x14ac:dyDescent="0.55000000000000004">
      <c r="A81" s="49"/>
      <c r="B81" s="53"/>
      <c r="C81" s="53"/>
      <c r="D81" s="53"/>
      <c r="E81" s="53"/>
      <c r="F81" s="57"/>
      <c r="G81" s="57"/>
      <c r="H81" s="57"/>
      <c r="I81" s="55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</row>
    <row r="82" spans="1:39" ht="21.5" thickBot="1" x14ac:dyDescent="0.55000000000000004">
      <c r="A82" s="49"/>
      <c r="B82" s="53"/>
      <c r="C82" s="53"/>
      <c r="D82" s="53"/>
      <c r="E82" s="53"/>
      <c r="F82" s="57"/>
      <c r="G82" s="57"/>
      <c r="H82" s="57"/>
      <c r="I82" s="55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</row>
    <row r="83" spans="1:39" ht="21.5" thickBot="1" x14ac:dyDescent="0.55000000000000004">
      <c r="A83" s="49"/>
      <c r="B83" s="53"/>
      <c r="C83" s="53"/>
      <c r="D83" s="53"/>
      <c r="E83" s="53"/>
      <c r="F83" s="57"/>
      <c r="G83" s="57"/>
      <c r="H83" s="57"/>
      <c r="I83" s="55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</row>
    <row r="84" spans="1:39" ht="21.5" thickBot="1" x14ac:dyDescent="0.55000000000000004">
      <c r="A84" s="49"/>
      <c r="B84" s="53"/>
      <c r="C84" s="53"/>
      <c r="D84" s="53"/>
      <c r="E84" s="53"/>
      <c r="F84" s="57"/>
      <c r="G84" s="57"/>
      <c r="H84" s="57"/>
      <c r="I84" s="55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</row>
    <row r="85" spans="1:39" ht="21.5" thickBot="1" x14ac:dyDescent="0.55000000000000004">
      <c r="A85" s="49"/>
      <c r="B85" s="53"/>
      <c r="C85" s="53"/>
      <c r="D85" s="53"/>
      <c r="E85" s="53"/>
      <c r="F85" s="57"/>
      <c r="G85" s="57"/>
      <c r="H85" s="57"/>
      <c r="I85" s="55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</row>
    <row r="86" spans="1:39" ht="21.5" thickBot="1" x14ac:dyDescent="0.55000000000000004">
      <c r="A86" s="49"/>
      <c r="B86" s="53"/>
      <c r="C86" s="53"/>
      <c r="D86" s="53"/>
      <c r="E86" s="53"/>
      <c r="F86" s="57"/>
      <c r="G86" s="57"/>
      <c r="H86" s="57"/>
      <c r="I86" s="55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</row>
    <row r="87" spans="1:39" ht="21.5" thickBot="1" x14ac:dyDescent="0.55000000000000004">
      <c r="A87" s="49"/>
      <c r="B87" s="53"/>
      <c r="C87" s="53"/>
      <c r="D87" s="53"/>
      <c r="E87" s="53"/>
      <c r="F87" s="57"/>
      <c r="G87" s="57"/>
      <c r="H87" s="57"/>
      <c r="I87" s="55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</row>
    <row r="88" spans="1:39" ht="21.5" thickBot="1" x14ac:dyDescent="0.55000000000000004">
      <c r="A88" s="49"/>
      <c r="B88" s="53"/>
      <c r="C88" s="53"/>
      <c r="D88" s="53"/>
      <c r="E88" s="53"/>
      <c r="F88" s="57"/>
      <c r="G88" s="57"/>
      <c r="H88" s="57"/>
      <c r="I88" s="55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</row>
    <row r="89" spans="1:39" ht="21.5" thickBot="1" x14ac:dyDescent="0.55000000000000004">
      <c r="A89" s="49"/>
      <c r="B89" s="53"/>
      <c r="C89" s="53"/>
      <c r="D89" s="53"/>
      <c r="E89" s="53"/>
      <c r="F89" s="57"/>
      <c r="G89" s="57"/>
      <c r="H89" s="57"/>
      <c r="I89" s="55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</row>
    <row r="90" spans="1:39" ht="21.5" thickBot="1" x14ac:dyDescent="0.55000000000000004">
      <c r="A90" s="49"/>
      <c r="B90" s="53"/>
      <c r="C90" s="53"/>
      <c r="D90" s="53"/>
      <c r="E90" s="53"/>
      <c r="F90" s="57"/>
      <c r="G90" s="57"/>
      <c r="H90" s="57"/>
      <c r="I90" s="55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</row>
    <row r="91" spans="1:39" ht="21.5" thickBot="1" x14ac:dyDescent="0.55000000000000004">
      <c r="A91" s="49"/>
      <c r="B91" s="53"/>
      <c r="C91" s="53"/>
      <c r="D91" s="53"/>
      <c r="E91" s="53"/>
      <c r="F91" s="57"/>
      <c r="G91" s="57"/>
      <c r="H91" s="57"/>
      <c r="I91" s="55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</row>
    <row r="92" spans="1:39" ht="21.5" thickBot="1" x14ac:dyDescent="0.55000000000000004">
      <c r="A92" s="49"/>
      <c r="B92" s="53"/>
      <c r="C92" s="53"/>
      <c r="D92" s="53"/>
      <c r="E92" s="53"/>
      <c r="F92" s="57"/>
      <c r="G92" s="57"/>
      <c r="H92" s="57"/>
      <c r="I92" s="55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</row>
    <row r="93" spans="1:39" ht="21.5" thickBot="1" x14ac:dyDescent="0.55000000000000004">
      <c r="A93" s="49"/>
      <c r="B93" s="53"/>
      <c r="C93" s="53"/>
      <c r="D93" s="53"/>
      <c r="E93" s="53"/>
      <c r="F93" s="57"/>
      <c r="G93" s="57"/>
      <c r="H93" s="57"/>
      <c r="I93" s="55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</row>
    <row r="94" spans="1:39" ht="21.5" thickBot="1" x14ac:dyDescent="0.55000000000000004">
      <c r="A94" s="49"/>
      <c r="B94" s="53"/>
      <c r="C94" s="53"/>
      <c r="D94" s="53"/>
      <c r="E94" s="53"/>
      <c r="F94" s="57"/>
      <c r="G94" s="57"/>
      <c r="H94" s="57"/>
      <c r="I94" s="55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</row>
    <row r="95" spans="1:39" ht="21.5" thickBot="1" x14ac:dyDescent="0.55000000000000004">
      <c r="A95" s="49"/>
      <c r="B95" s="53"/>
      <c r="C95" s="53"/>
      <c r="D95" s="53"/>
      <c r="E95" s="53"/>
      <c r="F95" s="57"/>
      <c r="G95" s="57"/>
      <c r="H95" s="57"/>
      <c r="I95" s="55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</row>
    <row r="96" spans="1:39" ht="21.5" thickBot="1" x14ac:dyDescent="0.55000000000000004">
      <c r="A96" s="49"/>
      <c r="B96" s="53"/>
      <c r="C96" s="53"/>
      <c r="D96" s="53"/>
      <c r="E96" s="53"/>
      <c r="F96" s="57"/>
      <c r="G96" s="57"/>
      <c r="H96" s="57"/>
      <c r="I96" s="55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</row>
    <row r="97" spans="1:39" ht="21.5" thickBot="1" x14ac:dyDescent="0.55000000000000004">
      <c r="A97" s="49"/>
      <c r="B97" s="53"/>
      <c r="C97" s="53"/>
      <c r="D97" s="53"/>
      <c r="E97" s="53"/>
      <c r="F97" s="57"/>
      <c r="G97" s="57"/>
      <c r="H97" s="57"/>
      <c r="I97" s="55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</row>
    <row r="98" spans="1:39" ht="21.5" thickBot="1" x14ac:dyDescent="0.55000000000000004">
      <c r="A98" s="49"/>
      <c r="B98" s="53"/>
      <c r="C98" s="53"/>
      <c r="D98" s="53"/>
      <c r="E98" s="53"/>
      <c r="F98" s="57"/>
      <c r="G98" s="57"/>
      <c r="H98" s="57"/>
      <c r="I98" s="55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</row>
    <row r="99" spans="1:39" ht="21.5" thickBot="1" x14ac:dyDescent="0.55000000000000004">
      <c r="A99" s="49"/>
      <c r="B99" s="53"/>
      <c r="C99" s="53"/>
      <c r="D99" s="53"/>
      <c r="E99" s="53"/>
      <c r="F99" s="57"/>
      <c r="G99" s="57"/>
      <c r="H99" s="57"/>
      <c r="I99" s="55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</row>
    <row r="100" spans="1:39" ht="21.5" thickBot="1" x14ac:dyDescent="0.55000000000000004">
      <c r="A100" s="49"/>
      <c r="B100" s="53"/>
      <c r="C100" s="53"/>
      <c r="D100" s="53"/>
      <c r="E100" s="53"/>
      <c r="F100" s="57"/>
      <c r="G100" s="57"/>
      <c r="H100" s="57"/>
      <c r="I100" s="55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</row>
    <row r="101" spans="1:39" ht="21.5" thickBot="1" x14ac:dyDescent="0.55000000000000004">
      <c r="A101" s="49"/>
      <c r="B101" s="53"/>
      <c r="C101" s="53"/>
      <c r="D101" s="53"/>
      <c r="E101" s="53"/>
      <c r="F101" s="57"/>
      <c r="G101" s="57"/>
      <c r="H101" s="57"/>
      <c r="I101" s="55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</row>
    <row r="102" spans="1:39" ht="21.5" thickBot="1" x14ac:dyDescent="0.55000000000000004">
      <c r="A102" s="49"/>
      <c r="B102" s="53"/>
      <c r="C102" s="53"/>
      <c r="D102" s="53"/>
      <c r="E102" s="53"/>
      <c r="F102" s="57"/>
      <c r="G102" s="57"/>
      <c r="H102" s="57"/>
      <c r="I102" s="55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</row>
    <row r="103" spans="1:39" ht="21.5" thickBot="1" x14ac:dyDescent="0.55000000000000004">
      <c r="A103" s="49"/>
      <c r="B103" s="53"/>
      <c r="C103" s="53"/>
      <c r="D103" s="53"/>
      <c r="E103" s="53"/>
      <c r="F103" s="57"/>
      <c r="G103" s="57"/>
      <c r="H103" s="57"/>
      <c r="I103" s="55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</row>
    <row r="104" spans="1:39" ht="21.5" thickBot="1" x14ac:dyDescent="0.55000000000000004">
      <c r="A104" s="49"/>
      <c r="B104" s="53"/>
      <c r="C104" s="53"/>
      <c r="D104" s="53"/>
      <c r="E104" s="53"/>
      <c r="F104" s="57"/>
      <c r="G104" s="57"/>
      <c r="H104" s="57"/>
      <c r="I104" s="55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</row>
    <row r="105" spans="1:39" ht="21.5" thickBot="1" x14ac:dyDescent="0.55000000000000004">
      <c r="A105" s="49"/>
      <c r="B105" s="53"/>
      <c r="C105" s="53"/>
      <c r="D105" s="53"/>
      <c r="E105" s="53"/>
      <c r="F105" s="57"/>
      <c r="G105" s="57"/>
      <c r="H105" s="57"/>
      <c r="I105" s="55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</row>
    <row r="106" spans="1:39" ht="21.5" thickBot="1" x14ac:dyDescent="0.55000000000000004">
      <c r="A106" s="49"/>
      <c r="B106" s="53"/>
      <c r="C106" s="53"/>
      <c r="D106" s="53"/>
      <c r="E106" s="53"/>
      <c r="F106" s="57"/>
      <c r="G106" s="57"/>
      <c r="H106" s="57"/>
      <c r="I106" s="55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</row>
    <row r="107" spans="1:39" ht="21.5" thickBot="1" x14ac:dyDescent="0.55000000000000004">
      <c r="A107" s="49"/>
      <c r="B107" s="53"/>
      <c r="C107" s="53"/>
      <c r="D107" s="53"/>
      <c r="E107" s="53"/>
      <c r="F107" s="57"/>
      <c r="G107" s="57"/>
      <c r="H107" s="57"/>
      <c r="I107" s="55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</row>
    <row r="108" spans="1:39" ht="21.5" thickBot="1" x14ac:dyDescent="0.55000000000000004">
      <c r="A108" s="49"/>
      <c r="B108" s="53"/>
      <c r="C108" s="53"/>
      <c r="D108" s="53"/>
      <c r="E108" s="53"/>
      <c r="F108" s="57"/>
      <c r="G108" s="57"/>
      <c r="H108" s="57"/>
      <c r="I108" s="55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</row>
    <row r="109" spans="1:39" ht="21.5" thickBot="1" x14ac:dyDescent="0.55000000000000004">
      <c r="A109" s="49"/>
      <c r="B109" s="53"/>
      <c r="C109" s="53"/>
      <c r="D109" s="53"/>
      <c r="E109" s="53"/>
      <c r="F109" s="57"/>
      <c r="G109" s="57"/>
      <c r="H109" s="57"/>
      <c r="I109" s="55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</row>
    <row r="110" spans="1:39" ht="21.5" thickBot="1" x14ac:dyDescent="0.55000000000000004">
      <c r="A110" s="49"/>
      <c r="B110" s="53"/>
      <c r="C110" s="53"/>
      <c r="D110" s="53"/>
      <c r="E110" s="53"/>
      <c r="F110" s="57"/>
      <c r="G110" s="57"/>
      <c r="H110" s="57"/>
      <c r="I110" s="55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</row>
    <row r="111" spans="1:39" ht="21.5" thickBot="1" x14ac:dyDescent="0.55000000000000004">
      <c r="A111" s="49"/>
      <c r="B111" s="53"/>
      <c r="C111" s="53"/>
      <c r="D111" s="53"/>
      <c r="E111" s="53"/>
      <c r="F111" s="57"/>
      <c r="G111" s="57"/>
      <c r="H111" s="57"/>
      <c r="I111" s="55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</row>
    <row r="112" spans="1:39" ht="21.5" thickBot="1" x14ac:dyDescent="0.55000000000000004">
      <c r="A112" s="49"/>
      <c r="B112" s="53"/>
      <c r="C112" s="53"/>
      <c r="D112" s="53"/>
      <c r="E112" s="53"/>
      <c r="F112" s="57"/>
      <c r="G112" s="57"/>
      <c r="H112" s="57"/>
      <c r="I112" s="55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</row>
    <row r="113" spans="1:39" ht="21.5" thickBot="1" x14ac:dyDescent="0.55000000000000004">
      <c r="A113" s="49"/>
      <c r="B113" s="53"/>
      <c r="C113" s="53"/>
      <c r="D113" s="53"/>
      <c r="E113" s="53"/>
      <c r="F113" s="57"/>
      <c r="G113" s="57"/>
      <c r="H113" s="57"/>
      <c r="I113" s="55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</row>
    <row r="114" spans="1:39" ht="21.5" thickBot="1" x14ac:dyDescent="0.55000000000000004">
      <c r="A114" s="49"/>
      <c r="B114" s="53"/>
      <c r="C114" s="53"/>
      <c r="D114" s="53"/>
      <c r="E114" s="53"/>
      <c r="F114" s="57"/>
      <c r="G114" s="57"/>
      <c r="H114" s="57"/>
      <c r="I114" s="55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</row>
    <row r="115" spans="1:39" ht="21.5" thickBot="1" x14ac:dyDescent="0.55000000000000004">
      <c r="A115" s="49"/>
      <c r="B115" s="53"/>
      <c r="C115" s="53"/>
      <c r="D115" s="53"/>
      <c r="E115" s="53"/>
      <c r="F115" s="57"/>
      <c r="G115" s="57"/>
      <c r="H115" s="57"/>
      <c r="I115" s="55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</row>
    <row r="116" spans="1:39" ht="21.5" thickBot="1" x14ac:dyDescent="0.55000000000000004">
      <c r="A116" s="49"/>
      <c r="B116" s="53"/>
      <c r="C116" s="53"/>
      <c r="D116" s="53"/>
      <c r="E116" s="53"/>
      <c r="F116" s="57"/>
      <c r="G116" s="57"/>
      <c r="H116" s="57"/>
      <c r="I116" s="55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</row>
    <row r="117" spans="1:39" ht="21.5" thickBot="1" x14ac:dyDescent="0.55000000000000004">
      <c r="A117" s="49"/>
      <c r="B117" s="53"/>
      <c r="C117" s="53"/>
      <c r="D117" s="53"/>
      <c r="E117" s="53"/>
      <c r="F117" s="57"/>
      <c r="G117" s="57"/>
      <c r="H117" s="57"/>
      <c r="I117" s="55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</row>
    <row r="118" spans="1:39" ht="21.5" thickBot="1" x14ac:dyDescent="0.55000000000000004">
      <c r="A118" s="49"/>
      <c r="B118" s="53"/>
      <c r="C118" s="53"/>
      <c r="D118" s="53"/>
      <c r="E118" s="53"/>
      <c r="F118" s="57"/>
      <c r="G118" s="57"/>
      <c r="H118" s="57"/>
      <c r="I118" s="55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</row>
    <row r="119" spans="1:39" ht="21.5" thickBot="1" x14ac:dyDescent="0.55000000000000004">
      <c r="A119" s="49"/>
      <c r="B119" s="53"/>
      <c r="C119" s="53"/>
      <c r="D119" s="53"/>
      <c r="E119" s="53"/>
      <c r="F119" s="57"/>
      <c r="G119" s="57"/>
      <c r="H119" s="57"/>
      <c r="I119" s="55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</row>
    <row r="120" spans="1:39" ht="21.5" thickBot="1" x14ac:dyDescent="0.55000000000000004">
      <c r="A120" s="49"/>
      <c r="B120" s="53"/>
      <c r="C120" s="53"/>
      <c r="D120" s="53"/>
      <c r="E120" s="53"/>
      <c r="F120" s="57"/>
      <c r="G120" s="57"/>
      <c r="H120" s="57"/>
      <c r="I120" s="55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</row>
    <row r="121" spans="1:39" ht="21.5" thickBot="1" x14ac:dyDescent="0.55000000000000004">
      <c r="A121" s="49"/>
      <c r="B121" s="53"/>
      <c r="C121" s="53"/>
      <c r="D121" s="53"/>
      <c r="E121" s="53"/>
      <c r="F121" s="57"/>
      <c r="G121" s="57"/>
      <c r="H121" s="57"/>
      <c r="I121" s="55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</row>
    <row r="122" spans="1:39" ht="21.5" thickBot="1" x14ac:dyDescent="0.55000000000000004">
      <c r="A122" s="49"/>
      <c r="B122" s="53"/>
      <c r="C122" s="53"/>
      <c r="D122" s="53"/>
      <c r="E122" s="53"/>
      <c r="F122" s="57"/>
      <c r="G122" s="57"/>
      <c r="H122" s="57"/>
      <c r="I122" s="55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</row>
    <row r="123" spans="1:39" ht="21.5" thickBot="1" x14ac:dyDescent="0.55000000000000004">
      <c r="A123" s="49"/>
      <c r="B123" s="53"/>
      <c r="C123" s="53"/>
      <c r="D123" s="53"/>
      <c r="E123" s="53"/>
      <c r="F123" s="57"/>
      <c r="G123" s="57"/>
      <c r="H123" s="57"/>
      <c r="I123" s="55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</row>
    <row r="124" spans="1:39" ht="21.5" thickBot="1" x14ac:dyDescent="0.55000000000000004">
      <c r="A124" s="49"/>
      <c r="B124" s="53"/>
      <c r="C124" s="53"/>
      <c r="D124" s="53"/>
      <c r="E124" s="53"/>
      <c r="F124" s="57"/>
      <c r="G124" s="57"/>
      <c r="H124" s="57"/>
      <c r="I124" s="55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</row>
    <row r="125" spans="1:39" ht="21.5" thickBot="1" x14ac:dyDescent="0.55000000000000004">
      <c r="A125" s="49"/>
      <c r="B125" s="53"/>
      <c r="C125" s="53"/>
      <c r="D125" s="53"/>
      <c r="E125" s="53"/>
      <c r="F125" s="57"/>
      <c r="G125" s="57"/>
      <c r="H125" s="57"/>
      <c r="I125" s="55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</row>
    <row r="126" spans="1:39" ht="21.5" thickBot="1" x14ac:dyDescent="0.55000000000000004">
      <c r="A126" s="49"/>
      <c r="B126" s="53"/>
      <c r="C126" s="53"/>
      <c r="D126" s="53"/>
      <c r="E126" s="53"/>
      <c r="F126" s="57"/>
      <c r="G126" s="57"/>
      <c r="H126" s="57"/>
      <c r="I126" s="55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</row>
    <row r="127" spans="1:39" ht="21.5" thickBot="1" x14ac:dyDescent="0.55000000000000004">
      <c r="A127" s="49"/>
      <c r="B127" s="53"/>
      <c r="C127" s="53"/>
      <c r="D127" s="53"/>
      <c r="E127" s="53"/>
      <c r="F127" s="57"/>
      <c r="G127" s="57"/>
      <c r="H127" s="57"/>
      <c r="I127" s="55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</row>
    <row r="128" spans="1:39" ht="21.5" thickBot="1" x14ac:dyDescent="0.55000000000000004">
      <c r="A128" s="49"/>
      <c r="B128" s="53"/>
      <c r="C128" s="53"/>
      <c r="D128" s="53"/>
      <c r="E128" s="53"/>
      <c r="F128" s="57"/>
      <c r="G128" s="57"/>
      <c r="H128" s="57"/>
      <c r="I128" s="55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</row>
    <row r="129" spans="1:39" ht="21.5" thickBot="1" x14ac:dyDescent="0.55000000000000004">
      <c r="A129" s="49"/>
      <c r="B129" s="53"/>
      <c r="C129" s="53"/>
      <c r="D129" s="53"/>
      <c r="E129" s="53"/>
      <c r="F129" s="57"/>
      <c r="G129" s="57"/>
      <c r="H129" s="57"/>
      <c r="I129" s="55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</row>
    <row r="130" spans="1:39" ht="21.5" thickBot="1" x14ac:dyDescent="0.55000000000000004">
      <c r="A130" s="49"/>
      <c r="B130" s="53"/>
      <c r="C130" s="53"/>
      <c r="D130" s="53"/>
      <c r="E130" s="53"/>
      <c r="F130" s="57"/>
      <c r="G130" s="57"/>
      <c r="H130" s="57"/>
      <c r="I130" s="55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</row>
    <row r="131" spans="1:39" ht="21.5" thickBot="1" x14ac:dyDescent="0.55000000000000004">
      <c r="A131" s="49"/>
      <c r="B131" s="53"/>
      <c r="C131" s="53"/>
      <c r="D131" s="53"/>
      <c r="E131" s="53"/>
      <c r="F131" s="57"/>
      <c r="G131" s="57"/>
      <c r="H131" s="57"/>
      <c r="I131" s="55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</row>
    <row r="132" spans="1:39" ht="21.5" thickBot="1" x14ac:dyDescent="0.55000000000000004">
      <c r="A132" s="49"/>
      <c r="B132" s="53"/>
      <c r="C132" s="53"/>
      <c r="D132" s="53"/>
      <c r="E132" s="53"/>
      <c r="F132" s="57"/>
      <c r="G132" s="57"/>
      <c r="H132" s="57"/>
      <c r="I132" s="55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</row>
    <row r="133" spans="1:39" ht="21.5" thickBot="1" x14ac:dyDescent="0.55000000000000004">
      <c r="A133" s="49"/>
      <c r="B133" s="53"/>
      <c r="C133" s="53"/>
      <c r="D133" s="53"/>
      <c r="E133" s="53"/>
      <c r="F133" s="57"/>
      <c r="G133" s="57"/>
      <c r="H133" s="57"/>
      <c r="I133" s="55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</row>
    <row r="134" spans="1:39" ht="21.5" thickBot="1" x14ac:dyDescent="0.55000000000000004">
      <c r="A134" s="49"/>
      <c r="B134" s="53"/>
      <c r="C134" s="53"/>
      <c r="D134" s="53"/>
      <c r="E134" s="53"/>
      <c r="F134" s="57"/>
      <c r="G134" s="57"/>
      <c r="H134" s="57"/>
      <c r="I134" s="55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</row>
    <row r="135" spans="1:39" ht="21.5" thickBot="1" x14ac:dyDescent="0.55000000000000004">
      <c r="A135" s="49"/>
      <c r="B135" s="53"/>
      <c r="C135" s="53"/>
      <c r="D135" s="53"/>
      <c r="E135" s="53"/>
      <c r="F135" s="57"/>
      <c r="G135" s="57"/>
      <c r="H135" s="57"/>
      <c r="I135" s="55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</row>
    <row r="136" spans="1:39" ht="21.5" thickBot="1" x14ac:dyDescent="0.55000000000000004">
      <c r="A136" s="49"/>
      <c r="B136" s="53"/>
      <c r="C136" s="53"/>
      <c r="D136" s="53"/>
      <c r="E136" s="53"/>
      <c r="F136" s="57"/>
      <c r="G136" s="57"/>
      <c r="H136" s="57"/>
      <c r="I136" s="55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</row>
    <row r="137" spans="1:39" ht="21.5" thickBot="1" x14ac:dyDescent="0.55000000000000004">
      <c r="A137" s="49"/>
      <c r="B137" s="53"/>
      <c r="C137" s="53"/>
      <c r="D137" s="53"/>
      <c r="E137" s="53"/>
      <c r="F137" s="57"/>
      <c r="G137" s="57"/>
      <c r="H137" s="57"/>
      <c r="I137" s="55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</row>
    <row r="138" spans="1:39" ht="21.5" thickBot="1" x14ac:dyDescent="0.55000000000000004">
      <c r="A138" s="49"/>
      <c r="B138" s="53"/>
      <c r="C138" s="53"/>
      <c r="D138" s="53"/>
      <c r="E138" s="53"/>
      <c r="F138" s="57"/>
      <c r="G138" s="57"/>
      <c r="H138" s="57"/>
      <c r="I138" s="55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</row>
    <row r="139" spans="1:39" ht="21.5" thickBot="1" x14ac:dyDescent="0.55000000000000004">
      <c r="A139" s="49"/>
      <c r="B139" s="53"/>
      <c r="C139" s="53"/>
      <c r="D139" s="53"/>
      <c r="E139" s="53"/>
      <c r="F139" s="57"/>
      <c r="G139" s="57"/>
      <c r="H139" s="57"/>
      <c r="I139" s="55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</row>
    <row r="140" spans="1:39" ht="21.5" thickBot="1" x14ac:dyDescent="0.55000000000000004">
      <c r="A140" s="49"/>
      <c r="B140" s="53"/>
      <c r="C140" s="53"/>
      <c r="D140" s="53"/>
      <c r="E140" s="53"/>
      <c r="F140" s="57"/>
      <c r="G140" s="57"/>
      <c r="H140" s="57"/>
      <c r="I140" s="55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</row>
    <row r="141" spans="1:39" ht="21.5" thickBot="1" x14ac:dyDescent="0.55000000000000004">
      <c r="A141" s="49"/>
      <c r="B141" s="53"/>
      <c r="C141" s="53"/>
      <c r="D141" s="53"/>
      <c r="E141" s="53"/>
      <c r="F141" s="57"/>
      <c r="G141" s="57"/>
      <c r="H141" s="57"/>
      <c r="I141" s="55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</row>
    <row r="142" spans="1:39" ht="21.5" thickBot="1" x14ac:dyDescent="0.55000000000000004">
      <c r="A142" s="49"/>
      <c r="B142" s="53"/>
      <c r="C142" s="53"/>
      <c r="D142" s="53"/>
      <c r="E142" s="53"/>
      <c r="F142" s="57"/>
      <c r="G142" s="57"/>
      <c r="H142" s="57"/>
      <c r="I142" s="55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</row>
    <row r="143" spans="1:39" ht="21.5" thickBot="1" x14ac:dyDescent="0.55000000000000004">
      <c r="A143" s="49"/>
      <c r="B143" s="53"/>
      <c r="C143" s="53"/>
      <c r="D143" s="53"/>
      <c r="E143" s="53"/>
      <c r="F143" s="57"/>
      <c r="G143" s="57"/>
      <c r="H143" s="57"/>
      <c r="I143" s="55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</row>
    <row r="144" spans="1:39" ht="21.5" thickBot="1" x14ac:dyDescent="0.55000000000000004">
      <c r="A144" s="49"/>
      <c r="B144" s="53"/>
      <c r="C144" s="53"/>
      <c r="D144" s="53"/>
      <c r="E144" s="53"/>
      <c r="F144" s="57"/>
      <c r="G144" s="57"/>
      <c r="H144" s="57"/>
      <c r="I144" s="55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</row>
    <row r="145" spans="1:39" ht="21.5" thickBot="1" x14ac:dyDescent="0.55000000000000004">
      <c r="A145" s="49"/>
      <c r="B145" s="53"/>
      <c r="C145" s="53"/>
      <c r="D145" s="53"/>
      <c r="E145" s="53"/>
      <c r="F145" s="57"/>
      <c r="G145" s="57"/>
      <c r="H145" s="57"/>
      <c r="I145" s="55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</row>
    <row r="146" spans="1:39" ht="21.5" thickBot="1" x14ac:dyDescent="0.55000000000000004">
      <c r="A146" s="49"/>
      <c r="B146" s="53"/>
      <c r="C146" s="53"/>
      <c r="D146" s="53"/>
      <c r="E146" s="53"/>
      <c r="F146" s="57"/>
      <c r="G146" s="57"/>
      <c r="H146" s="57"/>
      <c r="I146" s="55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</row>
    <row r="147" spans="1:39" ht="21.5" thickBot="1" x14ac:dyDescent="0.55000000000000004">
      <c r="A147" s="49"/>
      <c r="B147" s="53"/>
      <c r="C147" s="53"/>
      <c r="D147" s="53"/>
      <c r="E147" s="53"/>
      <c r="F147" s="57"/>
      <c r="G147" s="57"/>
      <c r="H147" s="57"/>
      <c r="I147" s="55" t="s">
        <v>296</v>
      </c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</row>
    <row r="148" spans="1:39" ht="21.5" thickBot="1" x14ac:dyDescent="0.55000000000000004">
      <c r="A148" s="49"/>
      <c r="B148" s="53"/>
      <c r="C148" s="53"/>
      <c r="D148" s="53"/>
      <c r="E148" s="53"/>
      <c r="F148" s="57"/>
      <c r="G148" s="57"/>
      <c r="H148" s="57"/>
      <c r="I148" s="55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</row>
    <row r="149" spans="1:39" ht="21.5" thickBot="1" x14ac:dyDescent="0.55000000000000004">
      <c r="A149" s="49"/>
      <c r="B149" s="53"/>
      <c r="C149" s="53"/>
      <c r="D149" s="53"/>
      <c r="E149" s="53"/>
      <c r="F149" s="57"/>
      <c r="G149" s="57"/>
      <c r="H149" s="57"/>
      <c r="I149" s="55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</row>
    <row r="150" spans="1:39" ht="21.5" thickBot="1" x14ac:dyDescent="0.55000000000000004">
      <c r="A150" s="49"/>
      <c r="B150" s="53"/>
      <c r="C150" s="53"/>
      <c r="D150" s="53"/>
      <c r="E150" s="53"/>
      <c r="F150" s="57"/>
      <c r="G150" s="57"/>
      <c r="H150" s="57"/>
      <c r="I150" s="55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</row>
    <row r="151" spans="1:39" ht="21.5" thickBot="1" x14ac:dyDescent="0.55000000000000004">
      <c r="A151" s="49"/>
      <c r="B151" s="53"/>
      <c r="C151" s="53"/>
      <c r="D151" s="53"/>
      <c r="E151" s="53"/>
      <c r="F151" s="57"/>
      <c r="G151" s="57"/>
      <c r="H151" s="57"/>
      <c r="I151" s="55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</row>
    <row r="152" spans="1:39" ht="21.5" thickBot="1" x14ac:dyDescent="0.55000000000000004">
      <c r="A152" s="49"/>
      <c r="B152" s="53"/>
      <c r="C152" s="53"/>
      <c r="D152" s="53"/>
      <c r="E152" s="53"/>
      <c r="F152" s="57"/>
      <c r="G152" s="57"/>
      <c r="H152" s="57"/>
      <c r="I152" s="55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</row>
    <row r="153" spans="1:39" ht="21.5" thickBot="1" x14ac:dyDescent="0.55000000000000004">
      <c r="A153" s="49"/>
      <c r="B153" s="53"/>
      <c r="C153" s="53"/>
      <c r="D153" s="53"/>
      <c r="E153" s="53"/>
      <c r="F153" s="57"/>
      <c r="G153" s="57"/>
      <c r="H153" s="57"/>
      <c r="I153" s="55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</row>
    <row r="154" spans="1:39" ht="21.5" thickBot="1" x14ac:dyDescent="0.55000000000000004">
      <c r="A154" s="49"/>
      <c r="B154" s="53"/>
      <c r="C154" s="53"/>
      <c r="D154" s="53"/>
      <c r="E154" s="53"/>
      <c r="F154" s="57"/>
      <c r="G154" s="57"/>
      <c r="H154" s="57"/>
      <c r="I154" s="55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</row>
    <row r="155" spans="1:39" ht="21.5" thickBot="1" x14ac:dyDescent="0.55000000000000004">
      <c r="A155" s="49"/>
      <c r="B155" s="53"/>
      <c r="C155" s="53"/>
      <c r="D155" s="53"/>
      <c r="E155" s="53"/>
      <c r="F155" s="57"/>
      <c r="G155" s="57"/>
      <c r="H155" s="57"/>
      <c r="I155" s="55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</row>
    <row r="156" spans="1:39" ht="21.5" thickBot="1" x14ac:dyDescent="0.55000000000000004">
      <c r="A156" s="49"/>
      <c r="B156" s="53"/>
      <c r="C156" s="53"/>
      <c r="D156" s="53"/>
      <c r="E156" s="53"/>
      <c r="F156" s="57"/>
      <c r="G156" s="57"/>
      <c r="H156" s="57"/>
      <c r="I156" s="55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</row>
    <row r="157" spans="1:39" ht="21.5" thickBot="1" x14ac:dyDescent="0.55000000000000004">
      <c r="A157" s="49"/>
      <c r="B157" s="53"/>
      <c r="C157" s="53"/>
      <c r="D157" s="53"/>
      <c r="E157" s="53"/>
      <c r="F157" s="57"/>
      <c r="G157" s="57"/>
      <c r="H157" s="57"/>
      <c r="I157" s="55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</row>
    <row r="158" spans="1:39" ht="21.5" thickBot="1" x14ac:dyDescent="0.55000000000000004">
      <c r="A158" s="49"/>
      <c r="B158" s="53"/>
      <c r="C158" s="53"/>
      <c r="D158" s="53"/>
      <c r="E158" s="53"/>
      <c r="F158" s="57"/>
      <c r="G158" s="57"/>
      <c r="H158" s="57"/>
      <c r="I158" s="55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</row>
    <row r="159" spans="1:39" ht="21.5" thickBot="1" x14ac:dyDescent="0.55000000000000004">
      <c r="A159" s="49"/>
      <c r="B159" s="53"/>
      <c r="C159" s="53"/>
      <c r="D159" s="53"/>
      <c r="E159" s="53"/>
      <c r="F159" s="57"/>
      <c r="G159" s="57"/>
      <c r="H159" s="57"/>
      <c r="I159" s="55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</row>
    <row r="160" spans="1:39" ht="21.5" thickBot="1" x14ac:dyDescent="0.55000000000000004">
      <c r="A160" s="49"/>
      <c r="B160" s="53"/>
      <c r="C160" s="53"/>
      <c r="D160" s="53"/>
      <c r="E160" s="53"/>
      <c r="F160" s="57"/>
      <c r="G160" s="57"/>
      <c r="H160" s="57"/>
      <c r="I160" s="55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</row>
    <row r="161" spans="1:39" ht="21.5" thickBot="1" x14ac:dyDescent="0.55000000000000004">
      <c r="A161" s="49"/>
      <c r="B161" s="53"/>
      <c r="C161" s="53"/>
      <c r="D161" s="53"/>
      <c r="E161" s="53"/>
      <c r="F161" s="57"/>
      <c r="G161" s="57"/>
      <c r="H161" s="57"/>
      <c r="I161" s="55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</row>
    <row r="162" spans="1:39" ht="21.5" thickBot="1" x14ac:dyDescent="0.55000000000000004">
      <c r="A162" s="49"/>
      <c r="B162" s="53"/>
      <c r="C162" s="53"/>
      <c r="D162" s="53"/>
      <c r="E162" s="53"/>
      <c r="F162" s="57"/>
      <c r="G162" s="57"/>
      <c r="H162" s="57"/>
      <c r="I162" s="55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</row>
    <row r="163" spans="1:39" ht="21.5" thickBot="1" x14ac:dyDescent="0.55000000000000004">
      <c r="A163" s="49"/>
      <c r="B163" s="53"/>
      <c r="C163" s="53"/>
      <c r="D163" s="53"/>
      <c r="E163" s="53"/>
      <c r="F163" s="57"/>
      <c r="G163" s="57"/>
      <c r="H163" s="57"/>
      <c r="I163" s="55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</row>
    <row r="164" spans="1:39" ht="21.5" thickBot="1" x14ac:dyDescent="0.55000000000000004">
      <c r="A164" s="49"/>
      <c r="B164" s="53"/>
      <c r="C164" s="53"/>
      <c r="D164" s="53"/>
      <c r="E164" s="53"/>
      <c r="F164" s="57"/>
      <c r="G164" s="57"/>
      <c r="H164" s="57"/>
      <c r="I164" s="55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</row>
    <row r="165" spans="1:39" ht="21.5" thickBot="1" x14ac:dyDescent="0.55000000000000004">
      <c r="A165" s="49"/>
      <c r="B165" s="53"/>
      <c r="C165" s="53"/>
      <c r="D165" s="53"/>
      <c r="E165" s="53"/>
      <c r="F165" s="57"/>
      <c r="G165" s="57"/>
      <c r="H165" s="57"/>
      <c r="I165" s="55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</row>
    <row r="166" spans="1:39" ht="21.5" thickBot="1" x14ac:dyDescent="0.55000000000000004">
      <c r="A166" s="49"/>
      <c r="B166" s="53"/>
      <c r="C166" s="53"/>
      <c r="D166" s="53"/>
      <c r="E166" s="53"/>
      <c r="F166" s="57"/>
      <c r="G166" s="57"/>
      <c r="H166" s="57"/>
      <c r="I166" s="55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</row>
    <row r="167" spans="1:39" ht="21.5" thickBot="1" x14ac:dyDescent="0.55000000000000004">
      <c r="A167" s="49"/>
      <c r="B167" s="53"/>
      <c r="C167" s="53"/>
      <c r="D167" s="53"/>
      <c r="E167" s="53"/>
      <c r="F167" s="57"/>
      <c r="G167" s="57"/>
      <c r="H167" s="57"/>
      <c r="I167" s="55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</row>
    <row r="168" spans="1:39" ht="21.5" thickBot="1" x14ac:dyDescent="0.55000000000000004">
      <c r="A168" s="49"/>
      <c r="B168" s="53"/>
      <c r="C168" s="53"/>
      <c r="D168" s="53"/>
      <c r="E168" s="53"/>
      <c r="F168" s="57"/>
      <c r="G168" s="57"/>
      <c r="H168" s="57"/>
      <c r="I168" s="55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</row>
    <row r="169" spans="1:39" ht="21.5" thickBot="1" x14ac:dyDescent="0.55000000000000004">
      <c r="A169" s="49"/>
      <c r="B169" s="53"/>
      <c r="C169" s="53"/>
      <c r="D169" s="53"/>
      <c r="E169" s="53"/>
      <c r="F169" s="57"/>
      <c r="G169" s="57"/>
      <c r="H169" s="57"/>
      <c r="I169" s="55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</row>
    <row r="170" spans="1:39" ht="21.5" thickBot="1" x14ac:dyDescent="0.55000000000000004">
      <c r="A170" s="49"/>
      <c r="B170" s="53"/>
      <c r="C170" s="53"/>
      <c r="D170" s="53"/>
      <c r="E170" s="53"/>
      <c r="F170" s="57"/>
      <c r="G170" s="57"/>
      <c r="H170" s="57"/>
      <c r="I170" s="55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</row>
    <row r="171" spans="1:39" ht="21.5" thickBot="1" x14ac:dyDescent="0.55000000000000004">
      <c r="A171" s="49"/>
      <c r="B171" s="53"/>
      <c r="C171" s="53"/>
      <c r="D171" s="53"/>
      <c r="E171" s="53"/>
      <c r="F171" s="57"/>
      <c r="G171" s="57"/>
      <c r="H171" s="57"/>
      <c r="I171" s="55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</row>
    <row r="172" spans="1:39" ht="21.5" thickBot="1" x14ac:dyDescent="0.55000000000000004">
      <c r="A172" s="49"/>
      <c r="B172" s="53"/>
      <c r="C172" s="53"/>
      <c r="D172" s="53"/>
      <c r="E172" s="53"/>
      <c r="F172" s="57"/>
      <c r="G172" s="57"/>
      <c r="H172" s="57"/>
      <c r="I172" s="55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</row>
    <row r="173" spans="1:39" ht="21.5" thickBot="1" x14ac:dyDescent="0.55000000000000004">
      <c r="A173" s="49"/>
      <c r="B173" s="53"/>
      <c r="C173" s="53"/>
      <c r="D173" s="53"/>
      <c r="E173" s="53"/>
      <c r="F173" s="57"/>
      <c r="G173" s="57"/>
      <c r="H173" s="57"/>
      <c r="I173" s="55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</row>
    <row r="174" spans="1:39" ht="21.5" thickBot="1" x14ac:dyDescent="0.55000000000000004">
      <c r="A174" s="49"/>
      <c r="B174" s="53"/>
      <c r="C174" s="53"/>
      <c r="D174" s="53"/>
      <c r="E174" s="53"/>
      <c r="F174" s="57"/>
      <c r="G174" s="57"/>
      <c r="H174" s="57"/>
      <c r="I174" s="55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</row>
    <row r="175" spans="1:39" ht="21.5" thickBot="1" x14ac:dyDescent="0.55000000000000004">
      <c r="A175" s="49"/>
      <c r="B175" s="53"/>
      <c r="C175" s="53"/>
      <c r="D175" s="53"/>
      <c r="E175" s="53"/>
      <c r="F175" s="57"/>
      <c r="G175" s="57"/>
      <c r="H175" s="57"/>
      <c r="I175" s="55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</row>
    <row r="176" spans="1:39" ht="21.5" thickBot="1" x14ac:dyDescent="0.55000000000000004">
      <c r="A176" s="49"/>
      <c r="B176" s="53"/>
      <c r="C176" s="53"/>
      <c r="D176" s="53"/>
      <c r="E176" s="53"/>
      <c r="F176" s="57"/>
      <c r="G176" s="57"/>
      <c r="H176" s="57"/>
      <c r="I176" s="55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</row>
    <row r="177" spans="1:39" ht="21.5" thickBot="1" x14ac:dyDescent="0.55000000000000004">
      <c r="A177" s="49"/>
      <c r="B177" s="53"/>
      <c r="C177" s="53"/>
      <c r="D177" s="53"/>
      <c r="E177" s="53"/>
      <c r="F177" s="57"/>
      <c r="G177" s="57"/>
      <c r="H177" s="57"/>
      <c r="I177" s="55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</row>
    <row r="178" spans="1:39" ht="21.5" thickBot="1" x14ac:dyDescent="0.55000000000000004">
      <c r="A178" s="49"/>
      <c r="B178" s="53"/>
      <c r="C178" s="53"/>
      <c r="D178" s="53"/>
      <c r="E178" s="53"/>
      <c r="F178" s="57"/>
      <c r="G178" s="57"/>
      <c r="H178" s="57"/>
      <c r="I178" s="55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</row>
    <row r="179" spans="1:39" ht="21.5" thickBot="1" x14ac:dyDescent="0.55000000000000004">
      <c r="A179" s="49"/>
      <c r="B179" s="53"/>
      <c r="C179" s="53"/>
      <c r="D179" s="53"/>
      <c r="E179" s="53"/>
      <c r="F179" s="57"/>
      <c r="G179" s="57"/>
      <c r="H179" s="57"/>
      <c r="I179" s="55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</row>
    <row r="180" spans="1:39" ht="21.5" thickBot="1" x14ac:dyDescent="0.55000000000000004">
      <c r="A180" s="49"/>
      <c r="B180" s="53"/>
      <c r="C180" s="53"/>
      <c r="D180" s="53"/>
      <c r="E180" s="53"/>
      <c r="F180" s="57"/>
      <c r="G180" s="57"/>
      <c r="H180" s="57"/>
      <c r="I180" s="55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</row>
    <row r="181" spans="1:39" ht="21.5" thickBot="1" x14ac:dyDescent="0.55000000000000004">
      <c r="A181" s="49"/>
      <c r="B181" s="53"/>
      <c r="C181" s="53"/>
      <c r="D181" s="53"/>
      <c r="E181" s="53"/>
      <c r="F181" s="57"/>
      <c r="G181" s="57"/>
      <c r="H181" s="57"/>
      <c r="I181" s="55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</row>
    <row r="182" spans="1:39" ht="21.5" thickBot="1" x14ac:dyDescent="0.55000000000000004">
      <c r="A182" s="49"/>
      <c r="B182" s="53"/>
      <c r="C182" s="53"/>
      <c r="D182" s="53"/>
      <c r="E182" s="53"/>
      <c r="F182" s="57"/>
      <c r="G182" s="57"/>
      <c r="H182" s="57"/>
      <c r="I182" s="55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</row>
    <row r="183" spans="1:39" ht="21.5" thickBot="1" x14ac:dyDescent="0.55000000000000004">
      <c r="A183" s="49"/>
      <c r="B183" s="53"/>
      <c r="C183" s="53"/>
      <c r="D183" s="53"/>
      <c r="E183" s="53"/>
      <c r="F183" s="57"/>
      <c r="G183" s="57"/>
      <c r="H183" s="57"/>
      <c r="I183" s="55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</row>
    <row r="184" spans="1:39" ht="21.5" thickBot="1" x14ac:dyDescent="0.55000000000000004">
      <c r="A184" s="49"/>
      <c r="B184" s="53"/>
      <c r="C184" s="53"/>
      <c r="D184" s="53"/>
      <c r="E184" s="53"/>
      <c r="F184" s="57"/>
      <c r="G184" s="57"/>
      <c r="H184" s="57"/>
      <c r="I184" s="55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</row>
    <row r="185" spans="1:39" ht="21.5" thickBot="1" x14ac:dyDescent="0.55000000000000004">
      <c r="A185" s="49"/>
      <c r="B185" s="53"/>
      <c r="C185" s="53"/>
      <c r="D185" s="53"/>
      <c r="E185" s="53"/>
      <c r="F185" s="57"/>
      <c r="G185" s="57"/>
      <c r="H185" s="57"/>
      <c r="I185" s="55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</row>
    <row r="186" spans="1:39" ht="21.5" thickBot="1" x14ac:dyDescent="0.55000000000000004">
      <c r="A186" s="49"/>
      <c r="B186" s="53"/>
      <c r="C186" s="53"/>
      <c r="D186" s="53"/>
      <c r="E186" s="53"/>
      <c r="F186" s="57"/>
      <c r="G186" s="57"/>
      <c r="H186" s="57"/>
      <c r="I186" s="55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</row>
    <row r="187" spans="1:39" ht="21.5" thickBot="1" x14ac:dyDescent="0.55000000000000004">
      <c r="A187" s="49"/>
      <c r="B187" s="53"/>
      <c r="C187" s="53"/>
      <c r="D187" s="53"/>
      <c r="E187" s="53"/>
      <c r="F187" s="57"/>
      <c r="G187" s="57"/>
      <c r="H187" s="57"/>
      <c r="I187" s="55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</row>
    <row r="188" spans="1:39" ht="21.5" thickBot="1" x14ac:dyDescent="0.55000000000000004">
      <c r="A188" s="49"/>
      <c r="B188" s="53"/>
      <c r="C188" s="53"/>
      <c r="D188" s="53"/>
      <c r="E188" s="53"/>
      <c r="F188" s="57"/>
      <c r="G188" s="57"/>
      <c r="H188" s="57"/>
      <c r="I188" s="55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</row>
    <row r="189" spans="1:39" ht="21.5" thickBot="1" x14ac:dyDescent="0.55000000000000004">
      <c r="A189" s="49"/>
      <c r="B189" s="53"/>
      <c r="C189" s="53"/>
      <c r="D189" s="53"/>
      <c r="E189" s="53"/>
      <c r="F189" s="57"/>
      <c r="G189" s="57"/>
      <c r="H189" s="57"/>
      <c r="I189" s="55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</row>
    <row r="190" spans="1:39" ht="21.5" thickBot="1" x14ac:dyDescent="0.55000000000000004">
      <c r="A190" s="49"/>
      <c r="B190" s="53"/>
      <c r="C190" s="53"/>
      <c r="D190" s="53"/>
      <c r="E190" s="53"/>
      <c r="F190" s="57"/>
      <c r="G190" s="57"/>
      <c r="H190" s="57"/>
      <c r="I190" s="55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</row>
    <row r="191" spans="1:39" ht="21.5" thickBot="1" x14ac:dyDescent="0.55000000000000004">
      <c r="A191" s="49"/>
      <c r="B191" s="53"/>
      <c r="C191" s="53"/>
      <c r="D191" s="53"/>
      <c r="E191" s="53"/>
      <c r="F191" s="57"/>
      <c r="G191" s="57"/>
      <c r="H191" s="57"/>
      <c r="I191" s="55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</row>
    <row r="192" spans="1:39" ht="21.5" thickBot="1" x14ac:dyDescent="0.55000000000000004">
      <c r="A192" s="49"/>
      <c r="B192" s="53"/>
      <c r="C192" s="53"/>
      <c r="D192" s="53"/>
      <c r="E192" s="53"/>
      <c r="F192" s="57"/>
      <c r="G192" s="57"/>
      <c r="H192" s="57"/>
      <c r="I192" s="55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</row>
    <row r="193" spans="1:39" ht="21.5" thickBot="1" x14ac:dyDescent="0.55000000000000004">
      <c r="A193" s="49"/>
      <c r="B193" s="53"/>
      <c r="C193" s="53"/>
      <c r="D193" s="53"/>
      <c r="E193" s="53"/>
      <c r="F193" s="57"/>
      <c r="G193" s="57"/>
      <c r="H193" s="57"/>
      <c r="I193" s="55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</row>
    <row r="194" spans="1:39" ht="21.5" thickBot="1" x14ac:dyDescent="0.55000000000000004">
      <c r="A194" s="49"/>
      <c r="B194" s="53"/>
      <c r="C194" s="53"/>
      <c r="D194" s="53"/>
      <c r="E194" s="53"/>
      <c r="F194" s="57"/>
      <c r="G194" s="57"/>
      <c r="H194" s="57"/>
      <c r="I194" s="55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</row>
    <row r="195" spans="1:39" ht="21.5" thickBot="1" x14ac:dyDescent="0.55000000000000004">
      <c r="A195" s="49"/>
      <c r="B195" s="53"/>
      <c r="C195" s="53"/>
      <c r="D195" s="53"/>
      <c r="E195" s="53"/>
      <c r="F195" s="57"/>
      <c r="G195" s="57"/>
      <c r="H195" s="57"/>
      <c r="I195" s="55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</row>
    <row r="196" spans="1:39" ht="21.5" thickBot="1" x14ac:dyDescent="0.55000000000000004">
      <c r="A196" s="49"/>
      <c r="B196" s="53"/>
      <c r="C196" s="53"/>
      <c r="D196" s="53"/>
      <c r="E196" s="53"/>
      <c r="F196" s="57"/>
      <c r="G196" s="57"/>
      <c r="H196" s="57"/>
      <c r="I196" s="55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</row>
    <row r="197" spans="1:39" ht="21.5" thickBot="1" x14ac:dyDescent="0.55000000000000004">
      <c r="A197" s="49"/>
      <c r="B197" s="53"/>
      <c r="C197" s="53"/>
      <c r="D197" s="53"/>
      <c r="E197" s="53"/>
      <c r="F197" s="57"/>
      <c r="G197" s="57"/>
      <c r="H197" s="57"/>
      <c r="I197" s="55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</row>
    <row r="198" spans="1:39" ht="21.5" thickBot="1" x14ac:dyDescent="0.55000000000000004">
      <c r="A198" s="49"/>
      <c r="B198" s="53"/>
      <c r="C198" s="53"/>
      <c r="D198" s="53"/>
      <c r="E198" s="53"/>
      <c r="F198" s="57"/>
      <c r="G198" s="57"/>
      <c r="H198" s="57"/>
      <c r="I198" s="55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</row>
    <row r="199" spans="1:39" ht="21.5" thickBot="1" x14ac:dyDescent="0.55000000000000004">
      <c r="A199" s="49"/>
      <c r="B199" s="53"/>
      <c r="C199" s="53"/>
      <c r="D199" s="53"/>
      <c r="E199" s="53"/>
      <c r="F199" s="57"/>
      <c r="G199" s="57"/>
      <c r="H199" s="57"/>
      <c r="I199" s="55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</row>
    <row r="200" spans="1:39" ht="21.5" thickBot="1" x14ac:dyDescent="0.55000000000000004">
      <c r="A200" s="49"/>
      <c r="B200" s="53"/>
      <c r="C200" s="53"/>
      <c r="D200" s="53"/>
      <c r="E200" s="53"/>
      <c r="F200" s="57"/>
      <c r="G200" s="57"/>
      <c r="H200" s="57"/>
      <c r="I200" s="55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</row>
    <row r="201" spans="1:39" ht="21.5" thickBot="1" x14ac:dyDescent="0.55000000000000004">
      <c r="A201" s="49"/>
      <c r="B201" s="53"/>
      <c r="C201" s="53"/>
      <c r="D201" s="53"/>
      <c r="E201" s="53"/>
      <c r="F201" s="57"/>
      <c r="G201" s="57"/>
      <c r="H201" s="57"/>
      <c r="I201" s="55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</row>
    <row r="202" spans="1:39" ht="21.5" thickBot="1" x14ac:dyDescent="0.55000000000000004">
      <c r="A202" s="49"/>
      <c r="B202" s="53"/>
      <c r="C202" s="53"/>
      <c r="D202" s="53"/>
      <c r="E202" s="53"/>
      <c r="F202" s="57"/>
      <c r="G202" s="57"/>
      <c r="H202" s="57"/>
      <c r="I202" s="55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</row>
    <row r="203" spans="1:39" ht="21.5" thickBot="1" x14ac:dyDescent="0.55000000000000004">
      <c r="A203" s="49"/>
      <c r="B203" s="53"/>
      <c r="C203" s="53"/>
      <c r="D203" s="53"/>
      <c r="E203" s="53"/>
      <c r="F203" s="57"/>
      <c r="G203" s="57"/>
      <c r="H203" s="57"/>
      <c r="I203" s="55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</row>
    <row r="204" spans="1:39" ht="21.5" thickBot="1" x14ac:dyDescent="0.55000000000000004">
      <c r="A204" s="49"/>
      <c r="B204" s="53"/>
      <c r="C204" s="53"/>
      <c r="D204" s="53"/>
      <c r="E204" s="53"/>
      <c r="F204" s="57"/>
      <c r="G204" s="57"/>
      <c r="H204" s="57"/>
      <c r="I204" s="55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7"/>
  <sheetViews>
    <sheetView zoomScale="95" workbookViewId="0">
      <pane xSplit="3" ySplit="2" topLeftCell="Z51" activePane="bottomRight" state="frozen"/>
      <selection pane="topRight" activeCell="D1" sqref="D1"/>
      <selection pane="bottomLeft" activeCell="A3" sqref="A3"/>
      <selection pane="bottomRight" activeCell="AC47" sqref="AC47"/>
    </sheetView>
  </sheetViews>
  <sheetFormatPr defaultRowHeight="18.5" x14ac:dyDescent="0.45"/>
  <cols>
    <col min="1" max="1" width="36" style="15" customWidth="1"/>
    <col min="2" max="2" width="19.54296875" style="1" customWidth="1"/>
    <col min="3" max="3" width="18.90625" customWidth="1"/>
    <col min="4" max="4" width="4.90625" customWidth="1"/>
    <col min="5" max="5" width="4.453125" style="9" customWidth="1"/>
    <col min="6" max="6" width="5.08984375" style="9" customWidth="1"/>
    <col min="7" max="7" width="4.54296875" style="9" customWidth="1"/>
    <col min="8" max="8" width="4.6328125" style="9" customWidth="1"/>
    <col min="9" max="9" width="5" style="9" customWidth="1"/>
    <col min="10" max="11" width="4.90625" style="9" customWidth="1"/>
    <col min="12" max="12" width="5.36328125" style="9" customWidth="1"/>
    <col min="13" max="13" width="5" style="9" customWidth="1"/>
    <col min="14" max="14" width="5.08984375" style="9" customWidth="1"/>
    <col min="15" max="15" width="4.36328125" style="9" customWidth="1"/>
    <col min="16" max="16" width="5.36328125" style="9" customWidth="1"/>
    <col min="17" max="17" width="5.453125" style="9" customWidth="1"/>
    <col min="18" max="18" width="4.90625" style="9" customWidth="1"/>
    <col min="19" max="19" width="5" style="9" customWidth="1"/>
    <col min="20" max="20" width="4.90625" style="9" customWidth="1"/>
    <col min="21" max="21" width="5.08984375" style="9" customWidth="1"/>
    <col min="22" max="23" width="4.6328125" style="9" customWidth="1"/>
    <col min="24" max="24" width="4.90625" style="9" customWidth="1"/>
    <col min="25" max="25" width="5.08984375" style="9" customWidth="1"/>
    <col min="26" max="26" width="6.08984375" style="9" customWidth="1"/>
    <col min="27" max="27" width="6.453125" style="9" customWidth="1"/>
    <col min="28" max="28" width="6" style="9" customWidth="1"/>
    <col min="29" max="29" width="5.08984375" style="9" customWidth="1"/>
    <col min="30" max="30" width="6" style="9" customWidth="1"/>
    <col min="31" max="31" width="6.54296875" style="9" customWidth="1"/>
    <col min="32" max="33" width="6.453125" style="9" customWidth="1"/>
    <col min="34" max="34" width="9.08984375" style="9"/>
    <col min="35" max="35" width="17.90625" bestFit="1" customWidth="1"/>
  </cols>
  <sheetData>
    <row r="1" spans="1:36" ht="47.25" customHeight="1" x14ac:dyDescent="1">
      <c r="A1" s="61" t="s">
        <v>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6" ht="21.75" customHeight="1" x14ac:dyDescent="0.45">
      <c r="A2" s="7" t="s">
        <v>0</v>
      </c>
      <c r="B2" s="5" t="s">
        <v>1</v>
      </c>
      <c r="C2" s="5" t="s">
        <v>2</v>
      </c>
      <c r="D2" s="6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  <c r="K2" s="5">
        <v>8</v>
      </c>
      <c r="L2" s="5">
        <v>9</v>
      </c>
      <c r="M2" s="5">
        <v>10</v>
      </c>
      <c r="N2" s="5">
        <v>11</v>
      </c>
      <c r="O2" s="5">
        <v>12</v>
      </c>
      <c r="P2" s="5">
        <v>13</v>
      </c>
      <c r="Q2" s="5">
        <v>14</v>
      </c>
      <c r="R2" s="5">
        <v>15</v>
      </c>
      <c r="S2" s="5">
        <v>16</v>
      </c>
      <c r="T2" s="5">
        <v>17</v>
      </c>
      <c r="U2" s="5">
        <v>18</v>
      </c>
      <c r="V2" s="5">
        <v>19</v>
      </c>
      <c r="W2" s="5">
        <v>20</v>
      </c>
      <c r="X2" s="5">
        <v>21</v>
      </c>
      <c r="Y2" s="5">
        <v>22</v>
      </c>
      <c r="Z2" s="5">
        <v>23</v>
      </c>
      <c r="AA2" s="5">
        <v>24</v>
      </c>
      <c r="AB2" s="5">
        <v>25</v>
      </c>
      <c r="AC2" s="5">
        <v>26</v>
      </c>
      <c r="AD2" s="5">
        <v>27</v>
      </c>
      <c r="AE2" s="5">
        <v>28</v>
      </c>
      <c r="AF2" s="5">
        <v>29</v>
      </c>
      <c r="AG2" s="5">
        <v>30</v>
      </c>
      <c r="AH2" s="5" t="s">
        <v>5</v>
      </c>
    </row>
    <row r="3" spans="1:36" x14ac:dyDescent="0.45">
      <c r="A3" s="13" t="s">
        <v>114</v>
      </c>
      <c r="B3" s="4" t="s">
        <v>3</v>
      </c>
      <c r="C3" s="2"/>
      <c r="D3" s="10">
        <v>4</v>
      </c>
      <c r="E3" s="11">
        <v>3</v>
      </c>
      <c r="F3" s="11">
        <v>3</v>
      </c>
      <c r="G3" s="11">
        <v>3</v>
      </c>
      <c r="H3" s="11">
        <v>2</v>
      </c>
      <c r="I3" s="12" t="s">
        <v>6</v>
      </c>
      <c r="J3" s="11">
        <v>2</v>
      </c>
      <c r="K3" s="11">
        <v>3</v>
      </c>
      <c r="L3" s="11">
        <v>3</v>
      </c>
      <c r="M3" s="11">
        <v>2</v>
      </c>
      <c r="N3" s="11">
        <v>4</v>
      </c>
      <c r="O3" s="12" t="s">
        <v>6</v>
      </c>
      <c r="P3" s="11">
        <v>4</v>
      </c>
      <c r="Q3" s="12" t="s">
        <v>6</v>
      </c>
      <c r="R3" s="11">
        <v>4</v>
      </c>
      <c r="S3" s="11">
        <v>3</v>
      </c>
      <c r="T3" s="11">
        <v>4</v>
      </c>
      <c r="U3" s="11">
        <v>3</v>
      </c>
      <c r="V3" s="11">
        <v>3</v>
      </c>
      <c r="W3" s="11">
        <v>3</v>
      </c>
      <c r="X3" s="11">
        <v>3</v>
      </c>
      <c r="Y3" s="11">
        <v>3</v>
      </c>
      <c r="Z3" s="17" t="s">
        <v>6</v>
      </c>
      <c r="AA3" s="4">
        <v>3</v>
      </c>
      <c r="AB3" s="4">
        <v>3</v>
      </c>
      <c r="AC3" s="4">
        <v>3</v>
      </c>
      <c r="AD3" s="4">
        <v>4</v>
      </c>
      <c r="AE3" s="4">
        <v>3</v>
      </c>
      <c r="AF3" s="4">
        <v>4</v>
      </c>
      <c r="AG3" s="4">
        <v>4</v>
      </c>
      <c r="AH3" s="4"/>
      <c r="AI3" t="s">
        <v>58</v>
      </c>
    </row>
    <row r="4" spans="1:36" x14ac:dyDescent="0.45">
      <c r="A4" s="13" t="s">
        <v>115</v>
      </c>
      <c r="B4" s="4"/>
      <c r="C4" s="2"/>
      <c r="D4" s="11">
        <v>1</v>
      </c>
      <c r="E4" s="11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2" t="s">
        <v>6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1</v>
      </c>
      <c r="U4" s="11">
        <v>1</v>
      </c>
      <c r="V4" s="11">
        <v>1</v>
      </c>
      <c r="W4" s="11">
        <v>1</v>
      </c>
      <c r="X4" s="11">
        <v>1</v>
      </c>
      <c r="Y4" s="11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4</v>
      </c>
      <c r="AH4" s="4"/>
      <c r="AI4" t="s">
        <v>62</v>
      </c>
      <c r="AJ4" t="s">
        <v>97</v>
      </c>
    </row>
    <row r="5" spans="1:36" x14ac:dyDescent="0.45">
      <c r="A5" s="13" t="s">
        <v>116</v>
      </c>
      <c r="B5" s="4"/>
      <c r="C5" s="2">
        <v>3364024030</v>
      </c>
      <c r="D5" s="4" t="s">
        <v>6</v>
      </c>
      <c r="E5" s="4">
        <v>1</v>
      </c>
      <c r="F5" s="4" t="s">
        <v>6</v>
      </c>
      <c r="G5" s="4">
        <v>1</v>
      </c>
      <c r="H5" s="4">
        <v>1</v>
      </c>
      <c r="I5" s="4" t="s">
        <v>6</v>
      </c>
      <c r="J5" s="4">
        <v>1</v>
      </c>
      <c r="K5" s="4">
        <v>1</v>
      </c>
      <c r="L5" s="4" t="s">
        <v>6</v>
      </c>
      <c r="M5" s="4" t="s">
        <v>6</v>
      </c>
      <c r="N5" s="4">
        <v>1</v>
      </c>
      <c r="O5" s="4" t="s">
        <v>6</v>
      </c>
      <c r="P5" s="4">
        <v>1</v>
      </c>
      <c r="Q5" s="4">
        <v>1</v>
      </c>
      <c r="R5" s="4">
        <v>1</v>
      </c>
      <c r="S5" s="4" t="s">
        <v>6</v>
      </c>
      <c r="T5" s="4">
        <v>1</v>
      </c>
      <c r="U5" s="4" t="s">
        <v>6</v>
      </c>
      <c r="V5" s="4">
        <v>1</v>
      </c>
      <c r="W5" s="4" t="s">
        <v>6</v>
      </c>
      <c r="X5" s="4">
        <v>1</v>
      </c>
      <c r="Y5" s="4">
        <v>1</v>
      </c>
      <c r="Z5" s="4" t="s">
        <v>6</v>
      </c>
      <c r="AA5" s="4">
        <v>1</v>
      </c>
      <c r="AB5" s="4" t="s">
        <v>6</v>
      </c>
      <c r="AC5" s="4">
        <v>1</v>
      </c>
      <c r="AD5" s="4">
        <v>0</v>
      </c>
      <c r="AE5" s="4">
        <v>1</v>
      </c>
      <c r="AF5" s="4">
        <v>0</v>
      </c>
      <c r="AG5" s="4">
        <v>1</v>
      </c>
      <c r="AH5" s="4"/>
    </row>
    <row r="6" spans="1:36" x14ac:dyDescent="0.45">
      <c r="A6" s="13" t="s">
        <v>117</v>
      </c>
      <c r="B6" s="4"/>
      <c r="C6" s="2"/>
      <c r="D6" s="4">
        <v>2</v>
      </c>
      <c r="E6" s="4">
        <v>3</v>
      </c>
      <c r="F6" s="4">
        <v>2</v>
      </c>
      <c r="G6" s="4">
        <v>2</v>
      </c>
      <c r="H6" s="4">
        <v>2</v>
      </c>
      <c r="I6" s="4">
        <v>2</v>
      </c>
      <c r="J6" s="4">
        <v>2</v>
      </c>
      <c r="K6" s="4">
        <v>1</v>
      </c>
      <c r="L6" s="4">
        <v>4</v>
      </c>
      <c r="M6" s="4">
        <v>1</v>
      </c>
      <c r="N6" s="4">
        <v>2</v>
      </c>
      <c r="O6" s="4">
        <v>3</v>
      </c>
      <c r="P6" s="4">
        <v>2</v>
      </c>
      <c r="Q6" s="4">
        <v>3</v>
      </c>
      <c r="R6" s="4">
        <v>1</v>
      </c>
      <c r="S6" s="4">
        <v>2</v>
      </c>
      <c r="T6" s="4">
        <v>2</v>
      </c>
      <c r="U6" s="4">
        <v>2</v>
      </c>
      <c r="V6" s="4">
        <v>2</v>
      </c>
      <c r="W6" s="4">
        <v>2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3</v>
      </c>
      <c r="AG6" s="4">
        <v>2</v>
      </c>
      <c r="AH6" s="4"/>
    </row>
    <row r="7" spans="1:36" x14ac:dyDescent="0.45">
      <c r="A7" s="13" t="s">
        <v>118</v>
      </c>
      <c r="B7" s="4" t="s">
        <v>52</v>
      </c>
      <c r="C7" s="2">
        <v>3343501855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0</v>
      </c>
      <c r="K7" s="4">
        <v>1</v>
      </c>
      <c r="L7" s="4">
        <v>2</v>
      </c>
      <c r="M7" s="4">
        <v>0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0</v>
      </c>
      <c r="AB7" s="4">
        <v>1</v>
      </c>
      <c r="AC7" s="4">
        <v>1</v>
      </c>
      <c r="AD7" s="4">
        <v>1</v>
      </c>
      <c r="AE7" s="4">
        <v>0</v>
      </c>
      <c r="AF7" s="4">
        <v>0</v>
      </c>
      <c r="AG7" s="4">
        <v>1</v>
      </c>
      <c r="AH7" s="4"/>
    </row>
    <row r="8" spans="1:36" x14ac:dyDescent="0.45">
      <c r="A8" s="13" t="s">
        <v>119</v>
      </c>
      <c r="B8" s="4"/>
      <c r="C8" s="2"/>
      <c r="D8" s="4">
        <v>0</v>
      </c>
      <c r="E8" s="4">
        <v>0</v>
      </c>
      <c r="F8" s="4">
        <v>2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1</v>
      </c>
      <c r="N8" s="4">
        <v>0</v>
      </c>
      <c r="O8" s="4">
        <v>2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2</v>
      </c>
      <c r="V8" s="4">
        <v>0</v>
      </c>
      <c r="W8" s="4">
        <v>0</v>
      </c>
      <c r="X8" s="4">
        <v>0</v>
      </c>
      <c r="Y8" s="4">
        <v>2</v>
      </c>
      <c r="Z8" s="4">
        <v>0</v>
      </c>
      <c r="AA8" s="4">
        <v>0</v>
      </c>
      <c r="AB8" s="4">
        <v>2</v>
      </c>
      <c r="AC8" s="4">
        <v>1</v>
      </c>
      <c r="AD8" s="4">
        <v>0</v>
      </c>
      <c r="AE8" s="4">
        <v>0</v>
      </c>
      <c r="AF8" s="4">
        <v>0</v>
      </c>
      <c r="AG8" s="4">
        <v>1</v>
      </c>
      <c r="AH8" s="4"/>
    </row>
    <row r="9" spans="1:36" x14ac:dyDescent="0.45">
      <c r="A9" s="13" t="s">
        <v>120</v>
      </c>
      <c r="B9" s="4"/>
      <c r="C9" s="2"/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0</v>
      </c>
      <c r="J9" s="4">
        <v>1</v>
      </c>
      <c r="K9" s="4">
        <v>0</v>
      </c>
      <c r="L9" s="4">
        <v>1</v>
      </c>
      <c r="M9" s="4">
        <v>0</v>
      </c>
      <c r="N9" s="4">
        <v>1</v>
      </c>
      <c r="O9" s="4">
        <v>1</v>
      </c>
      <c r="P9" s="4">
        <v>1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0</v>
      </c>
      <c r="W9" s="4">
        <v>0</v>
      </c>
      <c r="X9" s="4">
        <v>1</v>
      </c>
      <c r="Y9" s="4">
        <v>1</v>
      </c>
      <c r="Z9" s="4">
        <v>1</v>
      </c>
      <c r="AA9" s="4">
        <v>0</v>
      </c>
      <c r="AB9" s="4">
        <v>1</v>
      </c>
      <c r="AC9" s="4">
        <v>0</v>
      </c>
      <c r="AD9" s="4">
        <v>1</v>
      </c>
      <c r="AE9" s="4">
        <v>0</v>
      </c>
      <c r="AF9" s="4">
        <v>1</v>
      </c>
      <c r="AG9" s="4">
        <v>0</v>
      </c>
      <c r="AH9" s="4"/>
    </row>
    <row r="10" spans="1:36" x14ac:dyDescent="0.45">
      <c r="A10" s="13" t="s">
        <v>121</v>
      </c>
      <c r="B10" s="4" t="s">
        <v>55</v>
      </c>
      <c r="C10" s="2">
        <v>3148066167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3</v>
      </c>
      <c r="M10" s="4">
        <v>0</v>
      </c>
      <c r="N10" s="4">
        <v>0</v>
      </c>
      <c r="O10" s="4">
        <v>0</v>
      </c>
      <c r="P10" s="4">
        <v>0</v>
      </c>
      <c r="Q10" s="4">
        <v>3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3</v>
      </c>
      <c r="AA10" s="4" t="s">
        <v>61</v>
      </c>
      <c r="AB10" s="4">
        <v>0</v>
      </c>
      <c r="AC10" s="4">
        <v>3</v>
      </c>
      <c r="AD10" s="4">
        <v>0</v>
      </c>
      <c r="AE10" s="4">
        <v>0</v>
      </c>
      <c r="AF10" s="4">
        <v>3</v>
      </c>
      <c r="AG10" s="4">
        <v>0</v>
      </c>
      <c r="AH10" s="4"/>
    </row>
    <row r="11" spans="1:36" x14ac:dyDescent="0.45">
      <c r="A11" s="13" t="s">
        <v>122</v>
      </c>
      <c r="B11" s="4"/>
      <c r="C11" s="2">
        <v>3060278863</v>
      </c>
      <c r="D11" s="4">
        <v>3</v>
      </c>
      <c r="E11" s="4">
        <v>0</v>
      </c>
      <c r="F11" s="4">
        <v>2</v>
      </c>
      <c r="G11" s="4">
        <v>0</v>
      </c>
      <c r="H11" s="4">
        <v>3</v>
      </c>
      <c r="I11" s="4">
        <v>0</v>
      </c>
      <c r="J11" s="4">
        <v>2</v>
      </c>
      <c r="K11" s="4">
        <v>0</v>
      </c>
      <c r="L11" s="4">
        <v>0</v>
      </c>
      <c r="M11" s="4">
        <v>3</v>
      </c>
      <c r="N11" s="4">
        <v>0</v>
      </c>
      <c r="O11" s="4">
        <v>1</v>
      </c>
      <c r="P11" s="4">
        <v>1</v>
      </c>
      <c r="Q11" s="4">
        <v>1</v>
      </c>
      <c r="R11" s="4">
        <v>0</v>
      </c>
      <c r="S11" s="4">
        <v>1</v>
      </c>
      <c r="T11" s="4">
        <v>0</v>
      </c>
      <c r="U11" s="4">
        <v>1</v>
      </c>
      <c r="V11" s="4">
        <v>0</v>
      </c>
      <c r="W11" s="4">
        <v>4</v>
      </c>
      <c r="X11" s="4">
        <v>0</v>
      </c>
      <c r="Y11" s="4">
        <v>2</v>
      </c>
      <c r="Z11" s="4">
        <v>0</v>
      </c>
      <c r="AA11" s="4">
        <v>2</v>
      </c>
      <c r="AB11" s="4">
        <v>0</v>
      </c>
      <c r="AC11" s="4">
        <v>2</v>
      </c>
      <c r="AD11" s="4">
        <v>0</v>
      </c>
      <c r="AE11" s="4">
        <v>2</v>
      </c>
      <c r="AF11" s="4">
        <v>0</v>
      </c>
      <c r="AG11" s="4">
        <v>3</v>
      </c>
      <c r="AH11" s="4"/>
    </row>
    <row r="12" spans="1:36" x14ac:dyDescent="0.45">
      <c r="A12" s="13" t="s">
        <v>123</v>
      </c>
      <c r="B12" s="5"/>
      <c r="C12" s="13">
        <v>3149251340</v>
      </c>
      <c r="D12" s="5">
        <v>1</v>
      </c>
      <c r="E12" s="5">
        <v>0</v>
      </c>
      <c r="F12" s="5">
        <v>1</v>
      </c>
      <c r="G12" s="5">
        <v>0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5">
        <v>1</v>
      </c>
      <c r="O12" s="5">
        <v>0</v>
      </c>
      <c r="P12" s="5">
        <v>1</v>
      </c>
      <c r="Q12" s="5">
        <v>0</v>
      </c>
      <c r="R12" s="5">
        <v>1</v>
      </c>
      <c r="S12" s="5">
        <v>0</v>
      </c>
      <c r="T12" s="5">
        <v>1</v>
      </c>
      <c r="U12" s="5">
        <v>0</v>
      </c>
      <c r="V12" s="5">
        <v>1</v>
      </c>
      <c r="W12" s="5">
        <v>0</v>
      </c>
      <c r="X12" s="5">
        <v>1</v>
      </c>
      <c r="Y12" s="5">
        <v>0</v>
      </c>
      <c r="Z12" s="5">
        <v>1</v>
      </c>
      <c r="AA12" s="5">
        <v>0</v>
      </c>
      <c r="AB12" s="5">
        <v>1</v>
      </c>
      <c r="AC12" s="5">
        <v>0</v>
      </c>
      <c r="AD12" s="5">
        <v>1</v>
      </c>
      <c r="AE12" s="5">
        <v>0</v>
      </c>
      <c r="AF12" s="5">
        <v>1</v>
      </c>
      <c r="AG12" s="5">
        <v>0</v>
      </c>
      <c r="AH12" s="5"/>
      <c r="AI12" s="15"/>
    </row>
    <row r="13" spans="1:36" x14ac:dyDescent="0.45">
      <c r="A13" s="13" t="s">
        <v>7</v>
      </c>
      <c r="B13" s="5" t="s">
        <v>53</v>
      </c>
      <c r="C13" s="13">
        <v>3332229309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2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0</v>
      </c>
      <c r="U13" s="5">
        <v>1</v>
      </c>
      <c r="V13" s="5">
        <v>1</v>
      </c>
      <c r="W13" s="5">
        <v>1</v>
      </c>
      <c r="X13" s="5">
        <v>0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0</v>
      </c>
      <c r="AE13" s="5">
        <v>1</v>
      </c>
      <c r="AF13" s="5">
        <v>0</v>
      </c>
      <c r="AG13" s="5">
        <v>1</v>
      </c>
      <c r="AH13" s="5"/>
      <c r="AI13" s="15"/>
    </row>
    <row r="14" spans="1:36" x14ac:dyDescent="0.45">
      <c r="A14" s="13" t="s">
        <v>8</v>
      </c>
      <c r="B14" s="5"/>
      <c r="C14" s="13"/>
      <c r="D14" s="5" t="s">
        <v>48</v>
      </c>
      <c r="E14" s="5">
        <v>1</v>
      </c>
      <c r="F14" s="5" t="s">
        <v>48</v>
      </c>
      <c r="G14" s="5">
        <v>1</v>
      </c>
      <c r="H14" s="5">
        <v>1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5" t="s">
        <v>48</v>
      </c>
      <c r="O14" s="5" t="s">
        <v>48</v>
      </c>
      <c r="P14" s="5">
        <v>1</v>
      </c>
      <c r="Q14" s="5" t="s">
        <v>48</v>
      </c>
      <c r="R14" s="5" t="s">
        <v>48</v>
      </c>
      <c r="S14" s="5" t="s">
        <v>48</v>
      </c>
      <c r="T14" s="5">
        <v>1</v>
      </c>
      <c r="U14" s="5">
        <v>0</v>
      </c>
      <c r="V14" s="5">
        <v>0</v>
      </c>
      <c r="W14" s="5">
        <v>1</v>
      </c>
      <c r="X14" s="5">
        <v>0</v>
      </c>
      <c r="Y14" s="5">
        <v>0</v>
      </c>
      <c r="Z14" s="5">
        <v>1</v>
      </c>
      <c r="AA14" s="5">
        <v>0</v>
      </c>
      <c r="AB14" s="5">
        <v>1</v>
      </c>
      <c r="AC14" s="5">
        <v>0</v>
      </c>
      <c r="AD14" s="5">
        <v>1</v>
      </c>
      <c r="AE14" s="5">
        <v>1</v>
      </c>
      <c r="AF14" s="5">
        <v>0</v>
      </c>
      <c r="AG14" s="5">
        <v>1</v>
      </c>
      <c r="AH14" s="5"/>
      <c r="AI14" s="15"/>
    </row>
    <row r="15" spans="1:36" x14ac:dyDescent="0.45">
      <c r="A15" s="13" t="s">
        <v>9</v>
      </c>
      <c r="B15" s="5"/>
      <c r="C15" s="13">
        <v>3481802364</v>
      </c>
      <c r="D15" s="5">
        <v>1</v>
      </c>
      <c r="E15" s="5">
        <v>0</v>
      </c>
      <c r="F15" s="5">
        <v>2</v>
      </c>
      <c r="G15" s="5">
        <v>1</v>
      </c>
      <c r="H15" s="5">
        <v>0</v>
      </c>
      <c r="I15" s="5">
        <v>1</v>
      </c>
      <c r="J15" s="5">
        <v>0</v>
      </c>
      <c r="K15" s="5">
        <v>1</v>
      </c>
      <c r="L15" s="5">
        <v>1</v>
      </c>
      <c r="M15" s="5">
        <v>1</v>
      </c>
      <c r="N15" s="5">
        <v>0</v>
      </c>
      <c r="O15" s="5">
        <v>1</v>
      </c>
      <c r="P15" s="5">
        <v>1</v>
      </c>
      <c r="Q15" s="5">
        <v>0</v>
      </c>
      <c r="R15" s="5">
        <v>1</v>
      </c>
      <c r="S15" s="5">
        <v>0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0</v>
      </c>
      <c r="Z15" s="5">
        <v>1</v>
      </c>
      <c r="AA15" s="5">
        <v>1</v>
      </c>
      <c r="AB15" s="5">
        <v>1</v>
      </c>
      <c r="AC15" s="5">
        <v>0</v>
      </c>
      <c r="AD15" s="5">
        <v>1</v>
      </c>
      <c r="AE15" s="5">
        <v>2</v>
      </c>
      <c r="AF15" s="5">
        <v>1</v>
      </c>
      <c r="AG15" s="5">
        <v>1</v>
      </c>
      <c r="AH15" s="5"/>
      <c r="AI15" s="15"/>
    </row>
    <row r="16" spans="1:36" x14ac:dyDescent="0.45">
      <c r="A16" s="13" t="s">
        <v>10</v>
      </c>
      <c r="B16" s="5"/>
      <c r="C16" s="13"/>
      <c r="D16" s="13">
        <v>1</v>
      </c>
      <c r="E16" s="5">
        <v>1</v>
      </c>
      <c r="F16" s="5">
        <v>1</v>
      </c>
      <c r="G16" s="5">
        <v>0</v>
      </c>
      <c r="H16" s="5">
        <v>1</v>
      </c>
      <c r="I16" s="5">
        <v>0</v>
      </c>
      <c r="J16" s="5">
        <v>1</v>
      </c>
      <c r="K16" s="5">
        <v>1</v>
      </c>
      <c r="L16" s="5">
        <v>1</v>
      </c>
      <c r="M16" s="5">
        <v>0</v>
      </c>
      <c r="N16" s="5">
        <v>1</v>
      </c>
      <c r="O16" s="5">
        <v>1</v>
      </c>
      <c r="P16" s="5">
        <v>2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0</v>
      </c>
      <c r="AE16" s="5">
        <v>0</v>
      </c>
      <c r="AF16" s="5">
        <v>1</v>
      </c>
      <c r="AG16" s="5">
        <v>1</v>
      </c>
      <c r="AH16" s="5"/>
      <c r="AI16" s="15"/>
    </row>
    <row r="17" spans="1:35" x14ac:dyDescent="0.45">
      <c r="A17" s="13" t="s">
        <v>46</v>
      </c>
      <c r="B17" s="5"/>
      <c r="C17" s="13"/>
      <c r="D17" s="13">
        <v>1</v>
      </c>
      <c r="E17" s="5">
        <v>0</v>
      </c>
      <c r="F17" s="5">
        <v>1</v>
      </c>
      <c r="G17" s="5">
        <v>0</v>
      </c>
      <c r="H17" s="5">
        <v>1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5">
        <v>0</v>
      </c>
      <c r="O17" s="5">
        <v>1</v>
      </c>
      <c r="P17" s="5">
        <v>0</v>
      </c>
      <c r="Q17" s="5">
        <v>1</v>
      </c>
      <c r="R17" s="5">
        <v>0</v>
      </c>
      <c r="S17" s="5">
        <v>1</v>
      </c>
      <c r="T17" s="5">
        <v>0</v>
      </c>
      <c r="U17" s="5">
        <v>1</v>
      </c>
      <c r="V17" s="5">
        <v>0</v>
      </c>
      <c r="W17" s="5">
        <v>1</v>
      </c>
      <c r="X17" s="5">
        <v>0</v>
      </c>
      <c r="Y17" s="5">
        <v>1</v>
      </c>
      <c r="Z17" s="5">
        <v>0</v>
      </c>
      <c r="AA17" s="5">
        <v>1</v>
      </c>
      <c r="AB17" s="5">
        <v>0</v>
      </c>
      <c r="AC17" s="5">
        <v>1</v>
      </c>
      <c r="AD17" s="5">
        <v>0</v>
      </c>
      <c r="AE17" s="5">
        <v>1</v>
      </c>
      <c r="AF17" s="5">
        <v>0</v>
      </c>
      <c r="AG17" s="5">
        <v>1</v>
      </c>
      <c r="AH17" s="5"/>
      <c r="AI17" s="15"/>
    </row>
    <row r="18" spans="1:35" x14ac:dyDescent="0.45">
      <c r="A18" s="13" t="s">
        <v>11</v>
      </c>
      <c r="B18" s="5"/>
      <c r="C18" s="13"/>
      <c r="D18" s="13">
        <v>1</v>
      </c>
      <c r="E18" s="5">
        <v>1</v>
      </c>
      <c r="F18" s="5">
        <v>1</v>
      </c>
      <c r="G18" s="5">
        <v>0</v>
      </c>
      <c r="H18" s="5">
        <v>1</v>
      </c>
      <c r="I18" s="5">
        <v>0</v>
      </c>
      <c r="J18" s="5">
        <v>1</v>
      </c>
      <c r="K18" s="5">
        <v>1</v>
      </c>
      <c r="L18" s="5">
        <v>0</v>
      </c>
      <c r="M18" s="5">
        <v>0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0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/>
      <c r="AI18" s="15"/>
    </row>
    <row r="19" spans="1:35" x14ac:dyDescent="0.45">
      <c r="A19" s="13" t="s">
        <v>12</v>
      </c>
      <c r="B19" s="5"/>
      <c r="C19" s="13" t="s">
        <v>95</v>
      </c>
      <c r="D19" s="13">
        <v>1</v>
      </c>
      <c r="E19" s="5">
        <v>1</v>
      </c>
      <c r="F19" s="5">
        <v>1</v>
      </c>
      <c r="G19" s="5">
        <v>0</v>
      </c>
      <c r="H19" s="5">
        <v>1</v>
      </c>
      <c r="I19" s="5">
        <v>0</v>
      </c>
      <c r="J19" s="5">
        <v>2</v>
      </c>
      <c r="K19" s="5">
        <v>1</v>
      </c>
      <c r="L19" s="5">
        <v>0</v>
      </c>
      <c r="M19" s="5">
        <v>0</v>
      </c>
      <c r="N19" s="5">
        <v>2</v>
      </c>
      <c r="O19" s="5">
        <v>0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0</v>
      </c>
      <c r="W19" s="5">
        <v>2</v>
      </c>
      <c r="X19" s="5">
        <v>1</v>
      </c>
      <c r="Y19" s="5">
        <v>1</v>
      </c>
      <c r="Z19" s="5">
        <v>1</v>
      </c>
      <c r="AA19" s="5">
        <v>2</v>
      </c>
      <c r="AB19" s="5">
        <v>2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/>
      <c r="AI19" s="15"/>
    </row>
    <row r="20" spans="1:35" x14ac:dyDescent="0.45">
      <c r="A20" s="13" t="s">
        <v>13</v>
      </c>
      <c r="B20" s="5" t="s">
        <v>51</v>
      </c>
      <c r="C20" s="13"/>
      <c r="D20" s="13">
        <v>2</v>
      </c>
      <c r="E20" s="5">
        <v>1</v>
      </c>
      <c r="F20" s="5">
        <v>2</v>
      </c>
      <c r="G20" s="5">
        <v>0</v>
      </c>
      <c r="H20" s="5">
        <v>2</v>
      </c>
      <c r="I20" s="5">
        <v>0</v>
      </c>
      <c r="J20" s="5">
        <v>2</v>
      </c>
      <c r="K20" s="5">
        <v>0</v>
      </c>
      <c r="L20" s="5">
        <v>2</v>
      </c>
      <c r="M20" s="5">
        <v>0</v>
      </c>
      <c r="N20" s="5">
        <v>2</v>
      </c>
      <c r="O20" s="5">
        <v>0</v>
      </c>
      <c r="P20" s="5">
        <v>2</v>
      </c>
      <c r="Q20" s="5">
        <v>0</v>
      </c>
      <c r="R20" s="5">
        <v>2</v>
      </c>
      <c r="S20" s="5">
        <v>2</v>
      </c>
      <c r="T20" s="5">
        <v>0</v>
      </c>
      <c r="U20" s="5">
        <v>2</v>
      </c>
      <c r="V20" s="5">
        <v>2</v>
      </c>
      <c r="W20" s="5">
        <v>1</v>
      </c>
      <c r="X20" s="5">
        <v>1</v>
      </c>
      <c r="Y20" s="5">
        <v>2</v>
      </c>
      <c r="Z20" s="5">
        <v>1</v>
      </c>
      <c r="AA20" s="5">
        <v>1</v>
      </c>
      <c r="AB20" s="5">
        <v>1</v>
      </c>
      <c r="AC20" s="5">
        <v>1</v>
      </c>
      <c r="AD20" s="5">
        <v>2</v>
      </c>
      <c r="AE20" s="5">
        <v>1</v>
      </c>
      <c r="AF20" s="5">
        <v>1</v>
      </c>
      <c r="AG20" s="5">
        <v>2</v>
      </c>
      <c r="AH20" s="5"/>
      <c r="AI20" s="15"/>
    </row>
    <row r="21" spans="1:35" x14ac:dyDescent="0.45">
      <c r="A21" s="13" t="s">
        <v>14</v>
      </c>
      <c r="B21" s="5"/>
      <c r="C21" s="13"/>
      <c r="D21" s="13">
        <v>0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2</v>
      </c>
      <c r="K21" s="5">
        <v>1</v>
      </c>
      <c r="L21" s="5">
        <v>1</v>
      </c>
      <c r="M21" s="5">
        <v>0</v>
      </c>
      <c r="N21" s="5">
        <v>2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2</v>
      </c>
      <c r="V21" s="5">
        <v>1</v>
      </c>
      <c r="W21" s="5">
        <v>1</v>
      </c>
      <c r="X21" s="5">
        <v>0</v>
      </c>
      <c r="Y21" s="5">
        <v>0</v>
      </c>
      <c r="Z21" s="5">
        <v>1</v>
      </c>
      <c r="AA21" s="5">
        <v>2</v>
      </c>
      <c r="AB21" s="5">
        <v>1</v>
      </c>
      <c r="AC21" s="5">
        <v>1</v>
      </c>
      <c r="AD21" s="5">
        <v>2</v>
      </c>
      <c r="AE21" s="5">
        <v>1</v>
      </c>
      <c r="AF21" s="5">
        <v>2</v>
      </c>
      <c r="AG21" s="5">
        <v>1</v>
      </c>
      <c r="AH21" s="5"/>
      <c r="AI21" s="16" t="s">
        <v>49</v>
      </c>
    </row>
    <row r="22" spans="1:35" x14ac:dyDescent="0.45">
      <c r="A22" s="13" t="s">
        <v>15</v>
      </c>
      <c r="B22" s="5"/>
      <c r="C22" s="23" t="s">
        <v>59</v>
      </c>
      <c r="D22" s="13">
        <v>1</v>
      </c>
      <c r="E22" s="5">
        <v>2</v>
      </c>
      <c r="F22" s="5">
        <v>2</v>
      </c>
      <c r="G22" s="5">
        <v>1</v>
      </c>
      <c r="H22" s="5">
        <v>2</v>
      </c>
      <c r="I22" s="5">
        <v>0</v>
      </c>
      <c r="J22" s="5">
        <v>2</v>
      </c>
      <c r="K22" s="5">
        <v>0</v>
      </c>
      <c r="L22" s="5">
        <v>2</v>
      </c>
      <c r="M22" s="5">
        <v>0</v>
      </c>
      <c r="N22" s="5">
        <v>3</v>
      </c>
      <c r="O22" s="5">
        <v>1</v>
      </c>
      <c r="P22" s="5">
        <v>2</v>
      </c>
      <c r="Q22" s="5">
        <v>1</v>
      </c>
      <c r="R22" s="5">
        <v>1</v>
      </c>
      <c r="S22" s="5">
        <v>2</v>
      </c>
      <c r="T22" s="5">
        <v>1</v>
      </c>
      <c r="U22" s="5">
        <v>2</v>
      </c>
      <c r="V22" s="5">
        <v>1</v>
      </c>
      <c r="W22" s="5">
        <v>1</v>
      </c>
      <c r="X22" s="5">
        <v>0</v>
      </c>
      <c r="Y22" s="5">
        <v>2</v>
      </c>
      <c r="Z22" s="5">
        <v>2</v>
      </c>
      <c r="AA22" s="5">
        <v>1</v>
      </c>
      <c r="AB22" s="5">
        <v>2</v>
      </c>
      <c r="AC22" s="5">
        <v>1</v>
      </c>
      <c r="AD22" s="5">
        <v>1</v>
      </c>
      <c r="AE22" s="5">
        <v>2</v>
      </c>
      <c r="AF22" s="5">
        <v>0</v>
      </c>
      <c r="AG22" s="5">
        <v>2</v>
      </c>
      <c r="AH22" s="5"/>
      <c r="AI22" s="15"/>
    </row>
    <row r="23" spans="1:35" x14ac:dyDescent="0.45">
      <c r="A23" s="13" t="s">
        <v>16</v>
      </c>
      <c r="B23" s="5"/>
      <c r="C23" s="13"/>
      <c r="D23" s="13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0</v>
      </c>
      <c r="L23" s="5">
        <v>0</v>
      </c>
      <c r="M23" s="5">
        <v>1</v>
      </c>
      <c r="N23" s="5">
        <v>1</v>
      </c>
      <c r="O23" s="5">
        <v>1</v>
      </c>
      <c r="P23" s="5">
        <v>2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2</v>
      </c>
      <c r="Z23" s="5">
        <v>2</v>
      </c>
      <c r="AA23" s="5">
        <v>1</v>
      </c>
      <c r="AB23" s="5">
        <v>1</v>
      </c>
      <c r="AC23" s="5">
        <v>1</v>
      </c>
      <c r="AD23" s="5">
        <v>1</v>
      </c>
      <c r="AE23" s="5">
        <v>0</v>
      </c>
      <c r="AF23" s="5">
        <v>1</v>
      </c>
      <c r="AG23" s="5">
        <v>1</v>
      </c>
      <c r="AH23" s="5"/>
      <c r="AI23" s="15"/>
    </row>
    <row r="24" spans="1:35" x14ac:dyDescent="0.45">
      <c r="A24" s="13" t="s">
        <v>17</v>
      </c>
      <c r="B24" s="5"/>
      <c r="C24" s="13"/>
      <c r="D24" s="13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0</v>
      </c>
      <c r="Y24" s="5">
        <v>0</v>
      </c>
      <c r="Z24" s="5">
        <v>1</v>
      </c>
      <c r="AA24" s="5">
        <v>2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/>
      <c r="AI24" s="15"/>
    </row>
    <row r="25" spans="1:35" x14ac:dyDescent="0.45">
      <c r="A25" s="13" t="s">
        <v>28</v>
      </c>
      <c r="B25" s="5"/>
      <c r="C25" s="13"/>
      <c r="D25" s="13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1</v>
      </c>
      <c r="K25" s="5">
        <v>0</v>
      </c>
      <c r="L25" s="5">
        <v>0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0</v>
      </c>
      <c r="W25" s="5">
        <v>0</v>
      </c>
      <c r="X25" s="5">
        <v>0</v>
      </c>
      <c r="Y25" s="5">
        <v>0</v>
      </c>
      <c r="Z25" s="5">
        <v>1</v>
      </c>
      <c r="AA25" s="5">
        <v>1</v>
      </c>
      <c r="AB25" s="5">
        <v>1</v>
      </c>
      <c r="AC25" s="5">
        <v>1</v>
      </c>
      <c r="AD25" s="5">
        <v>0</v>
      </c>
      <c r="AE25" s="5">
        <v>1</v>
      </c>
      <c r="AF25" s="5">
        <v>1</v>
      </c>
      <c r="AG25" s="5">
        <v>1</v>
      </c>
      <c r="AH25" s="5"/>
      <c r="AI25" s="15"/>
    </row>
    <row r="26" spans="1:35" x14ac:dyDescent="0.45">
      <c r="A26" s="13" t="s">
        <v>94</v>
      </c>
      <c r="B26" s="5"/>
      <c r="C26" s="13"/>
      <c r="D26" s="13">
        <v>1</v>
      </c>
      <c r="E26" s="5">
        <v>1</v>
      </c>
      <c r="F26" s="5">
        <v>2</v>
      </c>
      <c r="G26" s="5">
        <v>1</v>
      </c>
      <c r="H26" s="5">
        <v>3</v>
      </c>
      <c r="I26" s="5">
        <v>0</v>
      </c>
      <c r="J26" s="5">
        <v>2</v>
      </c>
      <c r="K26" s="5">
        <v>2</v>
      </c>
      <c r="L26" s="5">
        <v>2</v>
      </c>
      <c r="M26" s="5">
        <v>0</v>
      </c>
      <c r="N26" s="5">
        <v>2</v>
      </c>
      <c r="O26" s="5">
        <v>2</v>
      </c>
      <c r="P26" s="5">
        <v>2</v>
      </c>
      <c r="Q26" s="5">
        <v>2</v>
      </c>
      <c r="R26" s="5">
        <v>2</v>
      </c>
      <c r="S26" s="5">
        <v>2</v>
      </c>
      <c r="T26" s="5">
        <v>2</v>
      </c>
      <c r="U26" s="5">
        <v>2</v>
      </c>
      <c r="V26" s="5">
        <v>2</v>
      </c>
      <c r="W26" s="5">
        <v>1</v>
      </c>
      <c r="X26" s="5">
        <v>2</v>
      </c>
      <c r="Y26" s="5">
        <v>2</v>
      </c>
      <c r="Z26" s="5">
        <v>2</v>
      </c>
      <c r="AA26" s="5">
        <v>2</v>
      </c>
      <c r="AB26" s="5">
        <v>2</v>
      </c>
      <c r="AC26" s="5">
        <v>2</v>
      </c>
      <c r="AD26" s="5">
        <v>2</v>
      </c>
      <c r="AE26" s="5">
        <v>2</v>
      </c>
      <c r="AF26" s="5">
        <v>2</v>
      </c>
      <c r="AG26" s="5">
        <v>2</v>
      </c>
      <c r="AH26" s="5"/>
      <c r="AI26" s="15"/>
    </row>
    <row r="27" spans="1:35" x14ac:dyDescent="0.45">
      <c r="A27" s="13" t="s">
        <v>18</v>
      </c>
      <c r="B27" s="5"/>
      <c r="C27" s="13"/>
      <c r="D27" s="13">
        <v>1</v>
      </c>
      <c r="E27" s="5">
        <v>1</v>
      </c>
      <c r="F27" s="5">
        <v>0</v>
      </c>
      <c r="G27" s="5">
        <v>1</v>
      </c>
      <c r="H27" s="5">
        <v>2</v>
      </c>
      <c r="I27" s="5">
        <v>0</v>
      </c>
      <c r="J27" s="5">
        <v>1</v>
      </c>
      <c r="K27" s="5">
        <v>0</v>
      </c>
      <c r="L27" s="5">
        <v>0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/>
      <c r="AI27" s="15"/>
    </row>
    <row r="28" spans="1:35" ht="21" x14ac:dyDescent="0.5">
      <c r="A28" s="13" t="s">
        <v>19</v>
      </c>
      <c r="B28" s="5" t="s">
        <v>56</v>
      </c>
      <c r="C28" s="13">
        <v>3053114527</v>
      </c>
      <c r="D28" s="13">
        <v>0</v>
      </c>
      <c r="E28" s="5">
        <v>0</v>
      </c>
      <c r="F28" s="5">
        <v>3</v>
      </c>
      <c r="G28" s="5">
        <v>0</v>
      </c>
      <c r="H28" s="5">
        <v>2</v>
      </c>
      <c r="I28" s="5">
        <v>0</v>
      </c>
      <c r="J28" s="5">
        <v>2</v>
      </c>
      <c r="K28" s="5">
        <v>0</v>
      </c>
      <c r="L28" s="5">
        <v>1</v>
      </c>
      <c r="M28" s="5">
        <v>0</v>
      </c>
      <c r="N28" s="5">
        <v>0</v>
      </c>
      <c r="O28" s="5">
        <v>2</v>
      </c>
      <c r="P28" s="5">
        <v>0</v>
      </c>
      <c r="Q28" s="5">
        <v>1</v>
      </c>
      <c r="R28" s="5">
        <v>0</v>
      </c>
      <c r="S28" s="5">
        <v>2</v>
      </c>
      <c r="T28" s="5">
        <v>0</v>
      </c>
      <c r="U28" s="5">
        <v>0</v>
      </c>
      <c r="V28" s="5">
        <v>2</v>
      </c>
      <c r="W28" s="5">
        <v>0</v>
      </c>
      <c r="X28" s="5">
        <v>2</v>
      </c>
      <c r="Y28" s="5">
        <v>0</v>
      </c>
      <c r="Z28" s="5">
        <v>2</v>
      </c>
      <c r="AA28" s="5">
        <v>0</v>
      </c>
      <c r="AB28" s="5">
        <v>0</v>
      </c>
      <c r="AC28" s="5">
        <v>2</v>
      </c>
      <c r="AD28" s="5">
        <v>0</v>
      </c>
      <c r="AE28" s="5">
        <v>2</v>
      </c>
      <c r="AF28" s="5">
        <v>0</v>
      </c>
      <c r="AG28" s="5">
        <v>0</v>
      </c>
      <c r="AH28" s="5"/>
      <c r="AI28" s="18" t="s">
        <v>50</v>
      </c>
    </row>
    <row r="29" spans="1:35" x14ac:dyDescent="0.45">
      <c r="A29" s="13" t="s">
        <v>20</v>
      </c>
      <c r="B29" s="5" t="s">
        <v>57</v>
      </c>
      <c r="C29" s="13">
        <v>3422280563</v>
      </c>
      <c r="D29" s="13">
        <v>0</v>
      </c>
      <c r="E29" s="5">
        <v>0</v>
      </c>
      <c r="F29" s="5">
        <v>0</v>
      </c>
      <c r="G29" s="5">
        <v>0</v>
      </c>
      <c r="H29" s="5">
        <v>3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4</v>
      </c>
      <c r="O29" s="5">
        <v>0</v>
      </c>
      <c r="P29" s="5">
        <v>0</v>
      </c>
      <c r="Q29" s="5">
        <v>0</v>
      </c>
      <c r="R29" s="5">
        <v>0</v>
      </c>
      <c r="S29" s="5">
        <v>4</v>
      </c>
      <c r="T29" s="5">
        <v>0</v>
      </c>
      <c r="U29" s="5">
        <v>0</v>
      </c>
      <c r="V29" s="5">
        <v>3</v>
      </c>
      <c r="W29" s="5">
        <v>0</v>
      </c>
      <c r="X29" s="5">
        <v>0</v>
      </c>
      <c r="Y29" s="5">
        <v>0</v>
      </c>
      <c r="Z29" s="5">
        <v>2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/>
      <c r="AI29" s="15" t="s">
        <v>96</v>
      </c>
    </row>
    <row r="30" spans="1:35" x14ac:dyDescent="0.45">
      <c r="A30" s="13" t="s">
        <v>21</v>
      </c>
      <c r="B30" s="5"/>
      <c r="C30" s="13"/>
      <c r="D30" s="13">
        <v>2</v>
      </c>
      <c r="E30" s="5">
        <v>0</v>
      </c>
      <c r="F30" s="5">
        <v>2</v>
      </c>
      <c r="G30" s="5">
        <v>2</v>
      </c>
      <c r="H30" s="5">
        <v>2</v>
      </c>
      <c r="I30" s="5">
        <v>1</v>
      </c>
      <c r="J30" s="5">
        <v>2</v>
      </c>
      <c r="K30" s="5">
        <v>0</v>
      </c>
      <c r="L30" s="5">
        <v>0</v>
      </c>
      <c r="M30" s="5">
        <v>0</v>
      </c>
      <c r="N30" s="5">
        <v>2</v>
      </c>
      <c r="O30" s="5">
        <v>2</v>
      </c>
      <c r="P30" s="5">
        <v>1</v>
      </c>
      <c r="Q30" s="5">
        <v>2</v>
      </c>
      <c r="R30" s="5">
        <v>2</v>
      </c>
      <c r="S30" s="5">
        <v>1</v>
      </c>
      <c r="T30" s="5">
        <v>2</v>
      </c>
      <c r="U30" s="5">
        <v>1</v>
      </c>
      <c r="V30" s="5">
        <v>2</v>
      </c>
      <c r="W30" s="5">
        <v>1</v>
      </c>
      <c r="X30" s="5">
        <v>1</v>
      </c>
      <c r="Y30" s="5">
        <v>1</v>
      </c>
      <c r="Z30" s="5">
        <v>0</v>
      </c>
      <c r="AA30" s="5">
        <v>2</v>
      </c>
      <c r="AB30" s="5">
        <v>1</v>
      </c>
      <c r="AC30" s="5">
        <v>2</v>
      </c>
      <c r="AD30" s="5">
        <v>2</v>
      </c>
      <c r="AE30" s="5">
        <v>2</v>
      </c>
      <c r="AF30" s="5">
        <v>1</v>
      </c>
      <c r="AG30" s="5">
        <v>2</v>
      </c>
      <c r="AH30" s="5"/>
      <c r="AI30" s="15"/>
    </row>
    <row r="31" spans="1:35" x14ac:dyDescent="0.45">
      <c r="A31" s="13" t="s">
        <v>26</v>
      </c>
      <c r="B31" s="5"/>
      <c r="C31" s="13"/>
      <c r="D31" s="13">
        <v>1</v>
      </c>
      <c r="E31" s="5">
        <v>1</v>
      </c>
      <c r="F31" s="5">
        <v>1</v>
      </c>
      <c r="G31" s="5">
        <v>1</v>
      </c>
      <c r="H31" s="5">
        <v>1</v>
      </c>
      <c r="I31" s="5">
        <v>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0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0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/>
      <c r="AI31" s="15"/>
    </row>
    <row r="32" spans="1:35" x14ac:dyDescent="0.45">
      <c r="A32" s="13" t="s">
        <v>25</v>
      </c>
      <c r="B32" s="5"/>
      <c r="C32" s="13"/>
      <c r="D32" s="13">
        <v>0</v>
      </c>
      <c r="E32" s="5">
        <v>1</v>
      </c>
      <c r="F32" s="5">
        <v>1</v>
      </c>
      <c r="G32" s="5">
        <v>1</v>
      </c>
      <c r="H32" s="5">
        <v>1</v>
      </c>
      <c r="I32" s="5">
        <v>0</v>
      </c>
      <c r="J32" s="5">
        <v>2</v>
      </c>
      <c r="K32" s="5">
        <v>0</v>
      </c>
      <c r="L32" s="5">
        <v>2</v>
      </c>
      <c r="M32" s="5">
        <v>0</v>
      </c>
      <c r="N32" s="5">
        <v>1</v>
      </c>
      <c r="O32" s="5">
        <v>1</v>
      </c>
      <c r="P32" s="5">
        <v>1</v>
      </c>
      <c r="Q32" s="5">
        <v>0</v>
      </c>
      <c r="R32" s="5">
        <v>1</v>
      </c>
      <c r="S32" s="5">
        <v>1</v>
      </c>
      <c r="T32" s="5">
        <v>1</v>
      </c>
      <c r="U32" s="5">
        <v>1</v>
      </c>
      <c r="V32" s="5">
        <v>0</v>
      </c>
      <c r="W32" s="5">
        <v>2</v>
      </c>
      <c r="X32" s="5">
        <v>0</v>
      </c>
      <c r="Y32" s="5">
        <v>1</v>
      </c>
      <c r="Z32" s="5">
        <v>1</v>
      </c>
      <c r="AA32" s="5">
        <v>1</v>
      </c>
      <c r="AB32" s="5">
        <v>2</v>
      </c>
      <c r="AC32" s="5">
        <v>0</v>
      </c>
      <c r="AD32" s="5">
        <v>0</v>
      </c>
      <c r="AE32" s="5">
        <v>2</v>
      </c>
      <c r="AF32" s="5">
        <v>0</v>
      </c>
      <c r="AG32" s="5">
        <v>1</v>
      </c>
      <c r="AH32" s="5"/>
      <c r="AI32" s="15"/>
    </row>
    <row r="33" spans="1:35" x14ac:dyDescent="0.45">
      <c r="A33" s="13" t="s">
        <v>27</v>
      </c>
      <c r="B33" s="13"/>
      <c r="C33" s="13"/>
      <c r="D33" s="13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0</v>
      </c>
      <c r="O33" s="5">
        <v>0</v>
      </c>
      <c r="P33" s="5">
        <v>0</v>
      </c>
      <c r="Q33" s="5">
        <v>2</v>
      </c>
      <c r="R33" s="5">
        <v>0</v>
      </c>
      <c r="S33" s="5">
        <v>3</v>
      </c>
      <c r="T33" s="5">
        <v>0</v>
      </c>
      <c r="U33" s="5">
        <v>2</v>
      </c>
      <c r="V33" s="5">
        <v>0</v>
      </c>
      <c r="W33" s="5">
        <v>0</v>
      </c>
      <c r="X33" s="5">
        <v>0</v>
      </c>
      <c r="Y33" s="5">
        <v>2</v>
      </c>
      <c r="Z33" s="5">
        <v>0</v>
      </c>
      <c r="AA33" s="5">
        <v>4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4</v>
      </c>
      <c r="AH33" s="5"/>
      <c r="AI33" s="15"/>
    </row>
    <row r="34" spans="1:35" x14ac:dyDescent="0.45">
      <c r="A34" s="13" t="s">
        <v>29</v>
      </c>
      <c r="B34" s="5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15"/>
    </row>
    <row r="35" spans="1:35" x14ac:dyDescent="0.45">
      <c r="A35" s="13" t="s">
        <v>31</v>
      </c>
      <c r="B35" s="5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15"/>
    </row>
    <row r="36" spans="1:35" x14ac:dyDescent="0.45">
      <c r="A36" s="13" t="s">
        <v>32</v>
      </c>
      <c r="B36" s="5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15"/>
    </row>
    <row r="37" spans="1:35" x14ac:dyDescent="0.45">
      <c r="A37" s="13" t="s">
        <v>33</v>
      </c>
      <c r="B37" s="5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15"/>
    </row>
    <row r="38" spans="1:35" x14ac:dyDescent="0.45">
      <c r="A38" s="13" t="s">
        <v>36</v>
      </c>
      <c r="B38" s="5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15"/>
    </row>
    <row r="39" spans="1:35" x14ac:dyDescent="0.45">
      <c r="A39" s="13" t="s">
        <v>45</v>
      </c>
      <c r="B39" s="5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15"/>
    </row>
    <row r="40" spans="1:35" x14ac:dyDescent="0.45">
      <c r="A40" s="13" t="s">
        <v>37</v>
      </c>
      <c r="B40" s="5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15"/>
    </row>
    <row r="41" spans="1:35" x14ac:dyDescent="0.45">
      <c r="A41" s="13" t="s">
        <v>38</v>
      </c>
      <c r="B41" s="5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15"/>
    </row>
    <row r="42" spans="1:35" x14ac:dyDescent="0.45">
      <c r="A42" s="13" t="s">
        <v>39</v>
      </c>
      <c r="B42" s="5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15"/>
    </row>
    <row r="43" spans="1:35" ht="21" x14ac:dyDescent="0.5">
      <c r="A43" s="13" t="s">
        <v>40</v>
      </c>
      <c r="B43" s="31">
        <v>3323226563</v>
      </c>
      <c r="C43" s="14"/>
      <c r="D43" s="1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15"/>
    </row>
    <row r="44" spans="1:35" x14ac:dyDescent="0.45">
      <c r="A44" s="13" t="s">
        <v>41</v>
      </c>
      <c r="B44" s="24"/>
      <c r="C44" s="14"/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15"/>
    </row>
    <row r="45" spans="1:35" x14ac:dyDescent="0.45">
      <c r="A45" s="13" t="s">
        <v>42</v>
      </c>
      <c r="B45" s="24"/>
      <c r="C45" s="14"/>
      <c r="D45" s="1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60</v>
      </c>
      <c r="W45" s="5"/>
      <c r="X45" s="5"/>
      <c r="Y45" s="5">
        <v>60</v>
      </c>
      <c r="Z45" s="5">
        <v>60</v>
      </c>
      <c r="AA45" s="5">
        <v>60</v>
      </c>
      <c r="AB45" s="5">
        <v>60</v>
      </c>
      <c r="AC45" s="5">
        <v>60</v>
      </c>
      <c r="AD45" s="5">
        <v>0</v>
      </c>
      <c r="AE45" s="5"/>
      <c r="AF45" s="5">
        <v>60</v>
      </c>
      <c r="AG45" s="5">
        <v>60</v>
      </c>
      <c r="AH45" s="5"/>
      <c r="AI45" s="15"/>
    </row>
    <row r="46" spans="1:35" x14ac:dyDescent="0.45">
      <c r="A46" s="13" t="s">
        <v>43</v>
      </c>
      <c r="B46" s="24"/>
      <c r="C46" s="14"/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15"/>
    </row>
    <row r="47" spans="1:35" x14ac:dyDescent="0.45">
      <c r="A47" s="13" t="s">
        <v>44</v>
      </c>
      <c r="B47" s="24"/>
      <c r="C47" s="14"/>
      <c r="D47" s="1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15"/>
    </row>
    <row r="48" spans="1:35" ht="21" x14ac:dyDescent="0.5">
      <c r="A48" s="13" t="s">
        <v>60</v>
      </c>
      <c r="B48" s="31" t="s">
        <v>113</v>
      </c>
      <c r="C48" s="14"/>
      <c r="D48" s="1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15"/>
    </row>
    <row r="49" spans="1:35" ht="21" x14ac:dyDescent="0.5">
      <c r="A49" s="13"/>
      <c r="B49" s="31"/>
      <c r="C49" s="14"/>
      <c r="D49" s="1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15"/>
    </row>
    <row r="50" spans="1:35" x14ac:dyDescent="0.45">
      <c r="A50" s="14"/>
      <c r="B50" s="24"/>
      <c r="C50" s="14"/>
      <c r="D50" s="1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15"/>
    </row>
    <row r="51" spans="1:35" ht="46" x14ac:dyDescent="1">
      <c r="A51" s="32" t="s">
        <v>178</v>
      </c>
    </row>
    <row r="52" spans="1:35" x14ac:dyDescent="0.45">
      <c r="A52" s="15" t="s">
        <v>179</v>
      </c>
      <c r="B52" s="1">
        <v>900</v>
      </c>
      <c r="C52" t="s">
        <v>182</v>
      </c>
    </row>
    <row r="53" spans="1:35" x14ac:dyDescent="0.45">
      <c r="A53" s="15" t="s">
        <v>180</v>
      </c>
      <c r="B53" s="1">
        <v>1020</v>
      </c>
      <c r="C53" t="s">
        <v>183</v>
      </c>
    </row>
    <row r="54" spans="1:35" x14ac:dyDescent="0.45">
      <c r="A54" s="15" t="s">
        <v>185</v>
      </c>
      <c r="B54" s="1">
        <v>600</v>
      </c>
      <c r="C54" t="s">
        <v>186</v>
      </c>
    </row>
    <row r="55" spans="1:35" x14ac:dyDescent="0.45">
      <c r="A55" s="15" t="s">
        <v>187</v>
      </c>
      <c r="B55" s="1">
        <v>1980</v>
      </c>
      <c r="C55" t="s">
        <v>188</v>
      </c>
    </row>
    <row r="56" spans="1:35" x14ac:dyDescent="0.45">
      <c r="A56" s="15" t="s">
        <v>189</v>
      </c>
      <c r="B56" s="1">
        <v>1440</v>
      </c>
      <c r="C56" t="s">
        <v>190</v>
      </c>
    </row>
    <row r="57" spans="1:35" x14ac:dyDescent="0.45">
      <c r="A57" s="15" t="s">
        <v>191</v>
      </c>
      <c r="B57" s="1">
        <v>1500</v>
      </c>
      <c r="C57" t="s">
        <v>192</v>
      </c>
    </row>
    <row r="58" spans="1:35" x14ac:dyDescent="0.45">
      <c r="A58" s="15" t="s">
        <v>193</v>
      </c>
      <c r="B58" s="1">
        <v>900</v>
      </c>
      <c r="C58" t="s">
        <v>181</v>
      </c>
    </row>
    <row r="59" spans="1:35" x14ac:dyDescent="0.45">
      <c r="A59" s="15" t="s">
        <v>8</v>
      </c>
      <c r="B59" s="1">
        <v>780</v>
      </c>
      <c r="C59" t="s">
        <v>181</v>
      </c>
    </row>
    <row r="60" spans="1:35" ht="28.5" x14ac:dyDescent="0.65">
      <c r="A60" s="33">
        <v>45787</v>
      </c>
    </row>
    <row r="61" spans="1:35" x14ac:dyDescent="0.45">
      <c r="A61" s="15" t="s">
        <v>184</v>
      </c>
      <c r="B61" s="1">
        <v>2220</v>
      </c>
      <c r="C61" t="s">
        <v>195</v>
      </c>
    </row>
    <row r="62" spans="1:35" x14ac:dyDescent="0.45">
      <c r="A62" s="15" t="s">
        <v>194</v>
      </c>
      <c r="B62" s="1">
        <v>1200</v>
      </c>
      <c r="C62" t="s">
        <v>181</v>
      </c>
    </row>
    <row r="63" spans="1:35" x14ac:dyDescent="0.45">
      <c r="A63" s="15" t="s">
        <v>196</v>
      </c>
      <c r="B63" s="1">
        <v>900</v>
      </c>
      <c r="C63" t="s">
        <v>181</v>
      </c>
    </row>
    <row r="64" spans="1:35" x14ac:dyDescent="0.45">
      <c r="A64" s="15" t="s">
        <v>18</v>
      </c>
      <c r="B64" s="1">
        <v>1600</v>
      </c>
      <c r="C64" t="s">
        <v>181</v>
      </c>
    </row>
    <row r="65" spans="1:3" x14ac:dyDescent="0.45">
      <c r="A65" s="15" t="s">
        <v>197</v>
      </c>
      <c r="B65" s="1">
        <v>1560</v>
      </c>
      <c r="C65" t="s">
        <v>181</v>
      </c>
    </row>
    <row r="66" spans="1:3" x14ac:dyDescent="0.45">
      <c r="A66" s="15" t="s">
        <v>198</v>
      </c>
      <c r="B66" s="1">
        <v>3100</v>
      </c>
      <c r="C66" t="s">
        <v>181</v>
      </c>
    </row>
    <row r="67" spans="1:3" x14ac:dyDescent="0.45">
      <c r="A67" s="15" t="s">
        <v>199</v>
      </c>
      <c r="B67" s="1">
        <v>10580</v>
      </c>
    </row>
  </sheetData>
  <mergeCells count="1">
    <mergeCell ref="A1:AH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6"/>
  <sheetViews>
    <sheetView workbookViewId="0">
      <pane xSplit="3" ySplit="2" topLeftCell="W4" activePane="bottomRight" state="frozen"/>
      <selection pane="topRight" activeCell="D1" sqref="D1"/>
      <selection pane="bottomLeft" activeCell="A3" sqref="A3"/>
      <selection pane="bottomRight" activeCell="A15" sqref="A15"/>
    </sheetView>
  </sheetViews>
  <sheetFormatPr defaultRowHeight="18.5" x14ac:dyDescent="0.45"/>
  <cols>
    <col min="1" max="1" width="36" style="15" customWidth="1"/>
    <col min="2" max="2" width="19.54296875" style="1" customWidth="1"/>
    <col min="3" max="3" width="18.90625" customWidth="1"/>
    <col min="4" max="4" width="4.90625" customWidth="1"/>
    <col min="5" max="5" width="4.453125" style="9" customWidth="1"/>
    <col min="6" max="6" width="5.08984375" style="9" customWidth="1"/>
    <col min="7" max="7" width="4.54296875" style="9" customWidth="1"/>
    <col min="8" max="8" width="4.6328125" style="9" customWidth="1"/>
    <col min="9" max="9" width="5" style="9" customWidth="1"/>
    <col min="10" max="11" width="4.90625" style="9" customWidth="1"/>
    <col min="12" max="12" width="5.36328125" style="9" customWidth="1"/>
    <col min="13" max="13" width="5" style="9" customWidth="1"/>
    <col min="14" max="14" width="5.08984375" style="9" customWidth="1"/>
    <col min="15" max="15" width="4.36328125" style="9" customWidth="1"/>
    <col min="16" max="16" width="5.36328125" style="9" customWidth="1"/>
    <col min="17" max="17" width="5.453125" style="9" customWidth="1"/>
    <col min="18" max="18" width="4.90625" style="9" customWidth="1"/>
    <col min="19" max="19" width="5" style="9" customWidth="1"/>
    <col min="20" max="20" width="4.90625" style="9" customWidth="1"/>
    <col min="21" max="21" width="5.08984375" style="9" customWidth="1"/>
    <col min="22" max="23" width="4.6328125" style="9" customWidth="1"/>
    <col min="24" max="24" width="4.90625" style="9" customWidth="1"/>
    <col min="25" max="25" width="5.08984375" style="9" customWidth="1"/>
    <col min="26" max="26" width="6.08984375" style="9" customWidth="1"/>
    <col min="27" max="27" width="6.453125" style="9" customWidth="1"/>
    <col min="28" max="28" width="6" style="9" customWidth="1"/>
    <col min="29" max="29" width="5.08984375" style="9" customWidth="1"/>
    <col min="30" max="30" width="6" style="9" customWidth="1"/>
    <col min="31" max="31" width="6.54296875" style="9" customWidth="1"/>
    <col min="32" max="33" width="6.453125" style="9" customWidth="1"/>
    <col min="34" max="34" width="9.08984375" style="9"/>
    <col min="35" max="35" width="18" bestFit="1" customWidth="1"/>
    <col min="36" max="36" width="8.54296875" customWidth="1"/>
  </cols>
  <sheetData>
    <row r="1" spans="1:37" ht="46" x14ac:dyDescent="1">
      <c r="A1" s="61" t="s">
        <v>47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7" x14ac:dyDescent="0.45">
      <c r="A2" s="7" t="s">
        <v>0</v>
      </c>
      <c r="B2" s="5" t="s">
        <v>1</v>
      </c>
      <c r="C2" s="5" t="s">
        <v>2</v>
      </c>
      <c r="D2" s="6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  <c r="K2" s="5">
        <v>8</v>
      </c>
      <c r="L2" s="5">
        <v>9</v>
      </c>
      <c r="M2" s="5">
        <v>10</v>
      </c>
      <c r="N2" s="5">
        <v>11</v>
      </c>
      <c r="O2" s="5">
        <v>12</v>
      </c>
      <c r="P2" s="5">
        <v>13</v>
      </c>
      <c r="Q2" s="5">
        <v>14</v>
      </c>
      <c r="R2" s="5">
        <v>15</v>
      </c>
      <c r="S2" s="5">
        <v>16</v>
      </c>
      <c r="T2" s="5">
        <v>17</v>
      </c>
      <c r="U2" s="5">
        <v>18</v>
      </c>
      <c r="V2" s="5">
        <v>19</v>
      </c>
      <c r="W2" s="5">
        <v>20</v>
      </c>
      <c r="X2" s="5">
        <v>21</v>
      </c>
      <c r="Y2" s="5">
        <v>22</v>
      </c>
      <c r="Z2" s="5">
        <v>23</v>
      </c>
      <c r="AA2" s="5">
        <v>24</v>
      </c>
      <c r="AB2" s="5">
        <v>25</v>
      </c>
      <c r="AC2" s="5">
        <v>26</v>
      </c>
      <c r="AD2" s="5">
        <v>27</v>
      </c>
      <c r="AE2" s="5">
        <v>28</v>
      </c>
      <c r="AF2" s="5">
        <v>29</v>
      </c>
      <c r="AG2" s="5">
        <v>30</v>
      </c>
      <c r="AH2" s="5" t="s">
        <v>5</v>
      </c>
    </row>
    <row r="3" spans="1:37" x14ac:dyDescent="0.45">
      <c r="A3" s="13" t="s">
        <v>65</v>
      </c>
      <c r="B3" s="5" t="s">
        <v>3</v>
      </c>
      <c r="C3" s="13"/>
      <c r="D3" s="10">
        <v>0</v>
      </c>
      <c r="E3" s="11">
        <v>1</v>
      </c>
      <c r="F3" s="11">
        <v>1</v>
      </c>
      <c r="G3" s="11">
        <v>1</v>
      </c>
      <c r="H3" s="11">
        <v>1</v>
      </c>
      <c r="I3" s="12">
        <v>0</v>
      </c>
      <c r="J3" s="11">
        <v>1</v>
      </c>
      <c r="K3" s="11">
        <v>0</v>
      </c>
      <c r="L3" s="11">
        <v>2</v>
      </c>
      <c r="M3" s="11">
        <v>0</v>
      </c>
      <c r="N3" s="11">
        <v>1</v>
      </c>
      <c r="O3" s="12">
        <v>1</v>
      </c>
      <c r="P3" s="11">
        <v>0</v>
      </c>
      <c r="Q3" s="12">
        <v>1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/>
      <c r="AF3" s="5"/>
      <c r="AG3" s="5"/>
      <c r="AH3" s="5">
        <v>10</v>
      </c>
      <c r="AI3" s="15"/>
      <c r="AJ3" s="15"/>
    </row>
    <row r="4" spans="1:37" ht="21" x14ac:dyDescent="0.5">
      <c r="A4" s="13" t="s">
        <v>63</v>
      </c>
      <c r="B4" s="5"/>
      <c r="C4" s="13"/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2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2</v>
      </c>
      <c r="T4" s="11">
        <v>0</v>
      </c>
      <c r="U4" s="11">
        <v>2</v>
      </c>
      <c r="V4" s="11">
        <v>0</v>
      </c>
      <c r="W4" s="11">
        <v>0</v>
      </c>
      <c r="X4" s="11">
        <v>0</v>
      </c>
      <c r="Y4" s="11">
        <v>0</v>
      </c>
      <c r="Z4" s="5">
        <v>2</v>
      </c>
      <c r="AA4" s="5">
        <v>0</v>
      </c>
      <c r="AB4" s="5">
        <v>0</v>
      </c>
      <c r="AC4" s="5">
        <v>0</v>
      </c>
      <c r="AD4" s="5">
        <v>2</v>
      </c>
      <c r="AE4" s="5"/>
      <c r="AF4" s="5"/>
      <c r="AG4" s="5"/>
      <c r="AH4" s="5"/>
      <c r="AI4" s="21" t="s">
        <v>90</v>
      </c>
      <c r="AJ4" s="21" t="s">
        <v>64</v>
      </c>
    </row>
    <row r="5" spans="1:37" ht="21" x14ac:dyDescent="0.5">
      <c r="A5" s="13" t="s">
        <v>66</v>
      </c>
      <c r="B5" s="5"/>
      <c r="C5" s="13"/>
      <c r="D5" s="13">
        <v>1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1</v>
      </c>
      <c r="L5" s="5">
        <v>0</v>
      </c>
      <c r="M5" s="5">
        <v>0</v>
      </c>
      <c r="N5" s="5">
        <v>0</v>
      </c>
      <c r="O5" s="5">
        <v>1</v>
      </c>
      <c r="P5" s="5">
        <v>0</v>
      </c>
      <c r="Q5" s="5">
        <v>1</v>
      </c>
      <c r="R5" s="5">
        <v>1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0</v>
      </c>
      <c r="Y5" s="5">
        <v>0</v>
      </c>
      <c r="Z5" s="5">
        <v>1</v>
      </c>
      <c r="AA5" s="5">
        <v>0</v>
      </c>
      <c r="AB5" s="5">
        <v>0</v>
      </c>
      <c r="AC5" s="5">
        <v>0</v>
      </c>
      <c r="AD5" s="5">
        <v>0</v>
      </c>
      <c r="AE5" s="5"/>
      <c r="AF5" s="5"/>
      <c r="AG5" s="5"/>
      <c r="AH5" s="5">
        <v>9</v>
      </c>
      <c r="AI5" s="21"/>
      <c r="AJ5" s="21"/>
    </row>
    <row r="6" spans="1:37" ht="21" x14ac:dyDescent="0.5">
      <c r="A6" s="13" t="s">
        <v>67</v>
      </c>
      <c r="B6" s="5"/>
      <c r="C6" s="13"/>
      <c r="D6" s="13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5">
        <v>1</v>
      </c>
      <c r="O6" s="5">
        <v>1</v>
      </c>
      <c r="P6" s="5">
        <v>1</v>
      </c>
      <c r="Q6" s="5">
        <v>1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0</v>
      </c>
      <c r="X6" s="5">
        <v>1</v>
      </c>
      <c r="Y6" s="5">
        <v>1</v>
      </c>
      <c r="Z6" s="5">
        <v>0</v>
      </c>
      <c r="AA6" s="5">
        <v>1</v>
      </c>
      <c r="AB6" s="5">
        <v>1</v>
      </c>
      <c r="AC6" s="5">
        <v>1</v>
      </c>
      <c r="AD6" s="5">
        <v>0</v>
      </c>
      <c r="AE6" s="5">
        <v>1</v>
      </c>
      <c r="AF6" s="5">
        <v>0</v>
      </c>
      <c r="AG6" s="5">
        <v>1</v>
      </c>
      <c r="AH6" s="5">
        <v>15</v>
      </c>
      <c r="AI6" s="21"/>
      <c r="AJ6" s="21"/>
    </row>
    <row r="7" spans="1:37" ht="21" x14ac:dyDescent="0.5">
      <c r="A7" s="13" t="s">
        <v>68</v>
      </c>
      <c r="B7" s="5"/>
      <c r="C7" s="13"/>
      <c r="D7" s="13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5">
        <v>1</v>
      </c>
      <c r="O7" s="5">
        <v>0</v>
      </c>
      <c r="P7" s="5">
        <v>1</v>
      </c>
      <c r="Q7" s="5">
        <v>1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1</v>
      </c>
      <c r="X7" s="5">
        <v>0</v>
      </c>
      <c r="Y7" s="5">
        <v>1</v>
      </c>
      <c r="Z7" s="5">
        <v>0</v>
      </c>
      <c r="AA7" s="5">
        <f>SUM(AA6)</f>
        <v>1</v>
      </c>
      <c r="AB7" s="5">
        <v>0</v>
      </c>
      <c r="AC7" s="5">
        <v>0</v>
      </c>
      <c r="AD7" s="5">
        <v>0</v>
      </c>
      <c r="AE7" s="5"/>
      <c r="AF7" s="5"/>
      <c r="AG7" s="5"/>
      <c r="AH7" s="5">
        <v>11</v>
      </c>
      <c r="AI7" s="21" t="s">
        <v>98</v>
      </c>
      <c r="AJ7" s="21">
        <v>300</v>
      </c>
      <c r="AK7" t="s">
        <v>99</v>
      </c>
    </row>
    <row r="8" spans="1:37" x14ac:dyDescent="0.45">
      <c r="A8" s="13" t="s">
        <v>34</v>
      </c>
      <c r="B8" s="5"/>
      <c r="C8" s="13"/>
      <c r="D8" s="13">
        <v>0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1</v>
      </c>
      <c r="AI8" s="15" t="s">
        <v>100</v>
      </c>
      <c r="AJ8" s="15"/>
    </row>
    <row r="9" spans="1:37" x14ac:dyDescent="0.45">
      <c r="A9" s="13" t="s">
        <v>24</v>
      </c>
      <c r="B9" s="5"/>
      <c r="C9" s="13"/>
      <c r="D9" s="13">
        <v>0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2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3</v>
      </c>
      <c r="AI9" s="15"/>
      <c r="AJ9" s="15"/>
    </row>
    <row r="10" spans="1:37" s="28" customFormat="1" x14ac:dyDescent="0.45">
      <c r="A10" s="25" t="s">
        <v>69</v>
      </c>
      <c r="B10" s="26"/>
      <c r="C10" s="25"/>
      <c r="D10" s="25">
        <v>0</v>
      </c>
      <c r="E10" s="26">
        <v>0</v>
      </c>
      <c r="F10" s="26">
        <v>0</v>
      </c>
      <c r="G10" s="26">
        <v>2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v>0</v>
      </c>
      <c r="AF10" s="26">
        <v>0</v>
      </c>
      <c r="AG10" s="26">
        <v>0</v>
      </c>
      <c r="AH10" s="26" t="s">
        <v>101</v>
      </c>
      <c r="AI10" s="27"/>
      <c r="AJ10" s="27"/>
    </row>
    <row r="11" spans="1:37" x14ac:dyDescent="0.45">
      <c r="A11" s="13" t="s">
        <v>70</v>
      </c>
      <c r="B11" s="5"/>
      <c r="C11" s="13"/>
      <c r="D11" s="13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/>
      <c r="AI11" s="15" t="s">
        <v>112</v>
      </c>
      <c r="AJ11" s="15"/>
    </row>
    <row r="12" spans="1:37" x14ac:dyDescent="0.45">
      <c r="A12" s="13" t="s">
        <v>71</v>
      </c>
      <c r="B12" s="5"/>
      <c r="C12" s="13"/>
      <c r="D12" s="1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  <c r="X12" s="5">
        <v>0</v>
      </c>
      <c r="Y12" s="5">
        <v>1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2</v>
      </c>
      <c r="AI12" s="5">
        <v>120</v>
      </c>
      <c r="AJ12" s="15" t="s">
        <v>102</v>
      </c>
      <c r="AK12" s="15" t="s">
        <v>100</v>
      </c>
    </row>
    <row r="13" spans="1:37" x14ac:dyDescent="0.45">
      <c r="A13" s="13" t="s">
        <v>72</v>
      </c>
      <c r="B13" s="5"/>
      <c r="C13" s="13"/>
      <c r="D13" s="13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1</v>
      </c>
      <c r="AI13" s="15" t="s">
        <v>103</v>
      </c>
      <c r="AJ13" s="15"/>
    </row>
    <row r="14" spans="1:37" x14ac:dyDescent="0.45">
      <c r="A14" s="13" t="s">
        <v>73</v>
      </c>
      <c r="B14" s="5"/>
      <c r="C14" s="13"/>
      <c r="D14" s="13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1</v>
      </c>
      <c r="AI14" s="15" t="s">
        <v>100</v>
      </c>
      <c r="AJ14" s="15"/>
    </row>
    <row r="15" spans="1:37" s="30" customFormat="1" x14ac:dyDescent="0.45">
      <c r="A15" s="23" t="s">
        <v>30</v>
      </c>
      <c r="B15" s="29"/>
      <c r="C15" s="23"/>
      <c r="D15" s="23">
        <v>1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1</v>
      </c>
      <c r="L15" s="29">
        <v>0</v>
      </c>
      <c r="M15" s="29">
        <v>0</v>
      </c>
      <c r="N15" s="29">
        <v>1</v>
      </c>
      <c r="O15" s="29">
        <v>0</v>
      </c>
      <c r="P15" s="29">
        <v>0</v>
      </c>
      <c r="Q15" s="29">
        <v>1</v>
      </c>
      <c r="R15" s="29">
        <v>0</v>
      </c>
      <c r="S15" s="29">
        <v>0</v>
      </c>
      <c r="T15" s="29">
        <v>1</v>
      </c>
      <c r="U15" s="29">
        <v>0</v>
      </c>
      <c r="V15" s="29">
        <v>0</v>
      </c>
      <c r="W15" s="29">
        <v>1</v>
      </c>
      <c r="X15" s="29">
        <v>0</v>
      </c>
      <c r="Y15" s="29">
        <v>1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1</v>
      </c>
      <c r="AF15" s="29">
        <v>0</v>
      </c>
      <c r="AG15" s="29">
        <v>1</v>
      </c>
      <c r="AH15" s="29">
        <v>10</v>
      </c>
      <c r="AI15" s="20" t="s">
        <v>104</v>
      </c>
      <c r="AJ15" s="20"/>
    </row>
    <row r="16" spans="1:37" x14ac:dyDescent="0.45">
      <c r="A16" s="13" t="s">
        <v>54</v>
      </c>
      <c r="B16" s="5"/>
      <c r="C16" s="13"/>
      <c r="D16" s="13">
        <v>0</v>
      </c>
      <c r="E16" s="5">
        <v>0</v>
      </c>
      <c r="F16" s="5">
        <v>0</v>
      </c>
      <c r="G16" s="5">
        <v>0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/>
      <c r="AE16" s="5">
        <v>0</v>
      </c>
      <c r="AF16" s="5">
        <v>0</v>
      </c>
      <c r="AG16" s="5">
        <v>0</v>
      </c>
      <c r="AH16" s="5">
        <v>1</v>
      </c>
      <c r="AI16" s="15">
        <v>60</v>
      </c>
      <c r="AJ16" s="15" t="s">
        <v>105</v>
      </c>
    </row>
    <row r="17" spans="1:36" x14ac:dyDescent="0.45">
      <c r="A17" s="13" t="s">
        <v>74</v>
      </c>
      <c r="B17" s="5"/>
      <c r="C17" s="13"/>
      <c r="D17" s="13"/>
      <c r="E17" s="5"/>
      <c r="F17" s="5"/>
      <c r="G17" s="5"/>
      <c r="H17" s="5"/>
      <c r="I17" s="5">
        <v>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</v>
      </c>
      <c r="X17" s="5">
        <v>2</v>
      </c>
      <c r="Y17" s="5"/>
      <c r="Z17" s="5"/>
      <c r="AA17" s="5">
        <v>1</v>
      </c>
      <c r="AB17" s="5"/>
      <c r="AC17" s="5">
        <v>1</v>
      </c>
      <c r="AD17" s="5">
        <v>2</v>
      </c>
      <c r="AE17" s="5"/>
      <c r="AF17" s="5"/>
      <c r="AG17" s="5"/>
      <c r="AH17" s="5">
        <v>9</v>
      </c>
      <c r="AI17" s="15"/>
      <c r="AJ17" s="15"/>
    </row>
    <row r="18" spans="1:36" x14ac:dyDescent="0.45">
      <c r="A18" s="13" t="s">
        <v>75</v>
      </c>
      <c r="B18" s="5"/>
      <c r="C18" s="13"/>
      <c r="D18" s="13"/>
      <c r="E18" s="5"/>
      <c r="F18" s="5"/>
      <c r="G18" s="5"/>
      <c r="H18" s="5">
        <v>1</v>
      </c>
      <c r="I18" s="5"/>
      <c r="J18" s="5"/>
      <c r="K18" s="5">
        <v>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</v>
      </c>
      <c r="AI18" s="15" t="s">
        <v>106</v>
      </c>
      <c r="AJ18" s="15"/>
    </row>
    <row r="19" spans="1:36" x14ac:dyDescent="0.45">
      <c r="A19" s="13" t="s">
        <v>76</v>
      </c>
      <c r="B19" s="5"/>
      <c r="C19" s="13"/>
      <c r="D19" s="13"/>
      <c r="E19" s="5"/>
      <c r="F19" s="5"/>
      <c r="G19" s="5"/>
      <c r="H19" s="5"/>
      <c r="I19" s="5"/>
      <c r="J19" s="5"/>
      <c r="K19" s="5"/>
      <c r="L19" s="5">
        <v>1</v>
      </c>
      <c r="M19" s="5"/>
      <c r="N19" s="5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</v>
      </c>
      <c r="AI19" s="15" t="s">
        <v>107</v>
      </c>
      <c r="AJ19" s="15"/>
    </row>
    <row r="20" spans="1:36" x14ac:dyDescent="0.45">
      <c r="A20" s="13" t="s">
        <v>77</v>
      </c>
      <c r="B20" s="5"/>
      <c r="C20" s="13"/>
      <c r="D20" s="13"/>
      <c r="E20" s="5"/>
      <c r="F20" s="5"/>
      <c r="G20" s="5"/>
      <c r="H20" s="5"/>
      <c r="I20" s="5"/>
      <c r="J20" s="5"/>
      <c r="K20" s="5"/>
      <c r="L20" s="5">
        <v>1</v>
      </c>
      <c r="M20" s="5"/>
      <c r="N20" s="5"/>
      <c r="O20" s="5"/>
      <c r="P20" s="5"/>
      <c r="Q20" s="5"/>
      <c r="R20" s="5"/>
      <c r="S20" s="5">
        <v>1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</v>
      </c>
      <c r="AI20" s="15" t="s">
        <v>108</v>
      </c>
      <c r="AJ20" s="15"/>
    </row>
    <row r="21" spans="1:36" x14ac:dyDescent="0.45">
      <c r="A21" s="13" t="s">
        <v>78</v>
      </c>
      <c r="B21" s="5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16</v>
      </c>
      <c r="AI21" s="15" t="s">
        <v>109</v>
      </c>
      <c r="AJ21" s="15"/>
    </row>
    <row r="22" spans="1:36" x14ac:dyDescent="0.45">
      <c r="A22" s="13" t="s">
        <v>79</v>
      </c>
      <c r="B22" s="5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1</v>
      </c>
      <c r="S22" s="5"/>
      <c r="T22" s="5"/>
      <c r="U22" s="5">
        <v>1</v>
      </c>
      <c r="V22" s="5"/>
      <c r="W22" s="5"/>
      <c r="X22" s="5">
        <v>1</v>
      </c>
      <c r="Y22" s="5"/>
      <c r="Z22" s="5"/>
      <c r="AA22" s="5"/>
      <c r="AB22" s="5"/>
      <c r="AC22" s="5"/>
      <c r="AD22" s="5"/>
      <c r="AE22" s="5"/>
      <c r="AF22" s="5"/>
      <c r="AG22" s="5"/>
      <c r="AH22" s="5">
        <v>3</v>
      </c>
      <c r="AI22" s="19" t="s">
        <v>89</v>
      </c>
      <c r="AJ22" s="15"/>
    </row>
    <row r="23" spans="1:36" s="30" customFormat="1" ht="23.5" x14ac:dyDescent="0.55000000000000004">
      <c r="A23" s="23" t="s">
        <v>80</v>
      </c>
      <c r="B23" s="22" t="s">
        <v>111</v>
      </c>
      <c r="C23" s="23"/>
      <c r="D23" s="23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>
        <v>1</v>
      </c>
      <c r="Y23" s="29"/>
      <c r="Z23" s="29"/>
      <c r="AA23" s="29"/>
      <c r="AB23" s="29"/>
      <c r="AC23" s="29"/>
      <c r="AD23" s="29"/>
      <c r="AE23" s="29"/>
      <c r="AF23" s="29"/>
      <c r="AG23" s="29"/>
      <c r="AH23" s="29">
        <v>1</v>
      </c>
      <c r="AI23" s="20" t="s">
        <v>110</v>
      </c>
      <c r="AJ23" s="20"/>
    </row>
    <row r="24" spans="1:36" x14ac:dyDescent="0.45">
      <c r="A24" s="13" t="s">
        <v>81</v>
      </c>
      <c r="B24" s="5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</v>
      </c>
      <c r="AB24" s="5"/>
      <c r="AC24" s="5">
        <v>2</v>
      </c>
      <c r="AD24" s="5"/>
      <c r="AE24" s="5"/>
      <c r="AF24" s="5"/>
      <c r="AG24" s="5"/>
      <c r="AH24" s="5">
        <v>3</v>
      </c>
      <c r="AI24" s="15" t="s">
        <v>106</v>
      </c>
      <c r="AJ24" s="15"/>
    </row>
    <row r="25" spans="1:36" s="30" customFormat="1" x14ac:dyDescent="0.45">
      <c r="A25" s="23" t="s">
        <v>35</v>
      </c>
      <c r="B25" s="29"/>
      <c r="C25" s="23" t="s">
        <v>112</v>
      </c>
      <c r="D25" s="23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>
        <v>0</v>
      </c>
      <c r="AB25" s="29"/>
      <c r="AC25" s="29"/>
      <c r="AD25" s="29"/>
      <c r="AE25" s="29"/>
      <c r="AF25" s="29"/>
      <c r="AG25" s="29"/>
      <c r="AH25" s="29"/>
      <c r="AI25" s="20"/>
      <c r="AJ25" s="20"/>
    </row>
    <row r="26" spans="1:36" x14ac:dyDescent="0.45">
      <c r="A26" s="13" t="s">
        <v>82</v>
      </c>
      <c r="B26" s="5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v>1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15"/>
      <c r="AJ26" s="15"/>
    </row>
    <row r="27" spans="1:36" x14ac:dyDescent="0.45">
      <c r="A27" s="13" t="s">
        <v>83</v>
      </c>
      <c r="B27" s="5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</v>
      </c>
      <c r="AC27" s="5"/>
      <c r="AD27" s="5"/>
      <c r="AE27" s="5"/>
      <c r="AF27" s="5"/>
      <c r="AG27" s="5"/>
      <c r="AH27" s="5"/>
      <c r="AI27" s="15"/>
      <c r="AJ27" s="15"/>
    </row>
    <row r="28" spans="1:36" x14ac:dyDescent="0.45">
      <c r="A28" s="13" t="s">
        <v>84</v>
      </c>
      <c r="B28" s="5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>
        <v>2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15"/>
      <c r="AJ28" s="15"/>
    </row>
    <row r="29" spans="1:36" ht="21" x14ac:dyDescent="0.5">
      <c r="A29" s="13" t="s">
        <v>85</v>
      </c>
      <c r="B29" s="5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1</v>
      </c>
      <c r="S29" s="5"/>
      <c r="T29" s="5">
        <v>1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21" t="s">
        <v>86</v>
      </c>
      <c r="AJ29" s="20"/>
    </row>
    <row r="30" spans="1:36" x14ac:dyDescent="0.45">
      <c r="A30" s="13" t="s">
        <v>87</v>
      </c>
      <c r="B30" s="5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1</v>
      </c>
      <c r="S30" s="5"/>
      <c r="T30" s="5"/>
      <c r="U30" s="5"/>
      <c r="V30" s="5">
        <v>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15"/>
      <c r="AJ30" s="15"/>
    </row>
    <row r="31" spans="1:36" x14ac:dyDescent="0.45">
      <c r="A31" s="13" t="s">
        <v>88</v>
      </c>
      <c r="B31" s="5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1</v>
      </c>
      <c r="U31" s="5"/>
      <c r="V31" s="5">
        <v>1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15"/>
      <c r="AJ31" s="15"/>
    </row>
    <row r="32" spans="1:36" ht="21" customHeight="1" x14ac:dyDescent="0.45">
      <c r="A32" s="13" t="s">
        <v>22</v>
      </c>
      <c r="B32" s="5" t="s">
        <v>23</v>
      </c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</v>
      </c>
      <c r="AC32" s="5">
        <v>1</v>
      </c>
      <c r="AD32" s="5">
        <v>1</v>
      </c>
      <c r="AE32" s="5">
        <v>0</v>
      </c>
      <c r="AF32" s="5">
        <v>1</v>
      </c>
      <c r="AG32" s="5">
        <v>1</v>
      </c>
      <c r="AH32" s="5">
        <v>1</v>
      </c>
      <c r="AI32" s="15">
        <v>3</v>
      </c>
      <c r="AJ32" s="15" t="s">
        <v>124</v>
      </c>
    </row>
    <row r="33" spans="1:34" ht="23.5" x14ac:dyDescent="0.55000000000000004">
      <c r="A33" s="13" t="s">
        <v>91</v>
      </c>
      <c r="B33" s="22" t="s">
        <v>92</v>
      </c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x14ac:dyDescent="0.45">
      <c r="A34" s="13" t="s">
        <v>93</v>
      </c>
      <c r="B34" s="5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</v>
      </c>
      <c r="Z34" s="5"/>
      <c r="AA34" s="5">
        <v>2</v>
      </c>
      <c r="AB34" s="5"/>
      <c r="AC34" s="5">
        <v>2</v>
      </c>
      <c r="AD34" s="5"/>
      <c r="AE34" s="5"/>
      <c r="AF34" s="5"/>
      <c r="AG34" s="5">
        <v>2</v>
      </c>
      <c r="AH34" s="5"/>
    </row>
    <row r="35" spans="1:34" x14ac:dyDescent="0.45">
      <c r="A35" s="13"/>
      <c r="B35" s="4"/>
      <c r="C35" s="2"/>
      <c r="D35" s="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45">
      <c r="A36" s="13"/>
      <c r="B36" s="4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x14ac:dyDescent="0.45">
      <c r="A37" s="13"/>
      <c r="B37" s="4"/>
      <c r="C37" s="2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x14ac:dyDescent="0.45">
      <c r="A38" s="13"/>
      <c r="B38" s="4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x14ac:dyDescent="0.45">
      <c r="A39" s="13"/>
      <c r="B39" s="4"/>
      <c r="C39" s="2"/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x14ac:dyDescent="0.45">
      <c r="A40" s="13"/>
      <c r="B40" s="4"/>
      <c r="C40" s="2"/>
      <c r="D40" s="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x14ac:dyDescent="0.45">
      <c r="A41" s="13"/>
      <c r="B41" s="4"/>
      <c r="C41" s="2"/>
      <c r="D41" s="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x14ac:dyDescent="0.45">
      <c r="A42" s="13"/>
      <c r="B42" s="4"/>
      <c r="C42" s="2"/>
      <c r="D42" s="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45">
      <c r="A43" s="13"/>
      <c r="B43" s="4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45">
      <c r="A44" s="13"/>
      <c r="B44" s="4"/>
      <c r="C44" s="2"/>
      <c r="D44" s="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45">
      <c r="A45" s="13"/>
      <c r="B45" s="4"/>
      <c r="C45" s="2"/>
      <c r="D45" s="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45">
      <c r="A46" s="13"/>
      <c r="B46" s="4"/>
      <c r="C46" s="2"/>
      <c r="D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45">
      <c r="A47" s="13"/>
      <c r="B47" s="4"/>
      <c r="C47" s="2"/>
      <c r="D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45">
      <c r="A48" s="13"/>
      <c r="B48" s="4"/>
      <c r="C48" s="2"/>
      <c r="D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x14ac:dyDescent="0.45">
      <c r="A49" s="13"/>
      <c r="B49" s="4"/>
      <c r="C49" s="2"/>
      <c r="D49" s="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x14ac:dyDescent="0.45">
      <c r="A50" s="13"/>
      <c r="B50" s="4"/>
      <c r="C50" s="2"/>
      <c r="D50" s="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45">
      <c r="A51" s="13"/>
      <c r="B51" s="4"/>
      <c r="C51" s="2"/>
      <c r="D51" s="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45">
      <c r="A52" s="13"/>
      <c r="B52" s="4"/>
      <c r="C52" s="2"/>
      <c r="D52" s="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45">
      <c r="A53" s="13"/>
      <c r="B53" s="4"/>
      <c r="C53" s="2"/>
      <c r="D53" s="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45">
      <c r="A54" s="13"/>
      <c r="B54" s="4"/>
      <c r="C54" s="2"/>
      <c r="D54" s="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45">
      <c r="A55" s="14"/>
      <c r="B55" s="8">
        <v>3323226563</v>
      </c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45">
      <c r="A56" s="14"/>
      <c r="B56" s="8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45">
      <c r="A57" s="14"/>
      <c r="B57" s="8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45">
      <c r="A58" s="14"/>
      <c r="B58" s="8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45">
      <c r="A59" s="14"/>
      <c r="B59" s="8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45">
      <c r="A60" s="14"/>
      <c r="B60" s="8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45">
      <c r="A61" s="14"/>
      <c r="B61" s="8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45">
      <c r="A62" s="14"/>
      <c r="B62" s="8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x14ac:dyDescent="0.45">
      <c r="A63" s="14"/>
      <c r="B63" s="8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45">
      <c r="A64" s="14"/>
      <c r="B64" s="8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45">
      <c r="A65" s="14"/>
      <c r="B65" s="8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45">
      <c r="A66" s="14"/>
      <c r="B66" s="8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</sheetData>
  <mergeCells count="1">
    <mergeCell ref="A1:AH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67"/>
  <sheetViews>
    <sheetView workbookViewId="0">
      <pane xSplit="1" ySplit="2" topLeftCell="B56" activePane="bottomRight" state="frozen"/>
      <selection pane="topRight" activeCell="B1" sqref="B1"/>
      <selection pane="bottomLeft" activeCell="A3" sqref="A3"/>
      <selection pane="bottomRight" activeCell="D61" sqref="D61"/>
    </sheetView>
  </sheetViews>
  <sheetFormatPr defaultColWidth="9.08984375" defaultRowHeight="14.5" x14ac:dyDescent="0.35"/>
  <cols>
    <col min="1" max="1" width="42.6328125" style="15" bestFit="1" customWidth="1"/>
    <col min="2" max="2" width="17.36328125" style="15" customWidth="1"/>
    <col min="3" max="3" width="9.08984375" style="34"/>
    <col min="4" max="33" width="9.08984375" style="15"/>
    <col min="34" max="34" width="10" style="15" bestFit="1" customWidth="1"/>
    <col min="35" max="35" width="8.453125" style="15" customWidth="1"/>
    <col min="36" max="36" width="14.6328125" style="15" bestFit="1" customWidth="1"/>
    <col min="37" max="37" width="9.08984375" style="15"/>
    <col min="38" max="38" width="13.08984375" style="15" customWidth="1"/>
    <col min="39" max="16384" width="9.08984375" style="15"/>
  </cols>
  <sheetData>
    <row r="1" spans="1:40" ht="47.25" customHeight="1" x14ac:dyDescent="0.5">
      <c r="A1" s="63" t="s">
        <v>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35"/>
      <c r="AJ1" s="35"/>
      <c r="AK1" s="35"/>
    </row>
    <row r="2" spans="1:40" ht="21.75" customHeight="1" x14ac:dyDescent="0.5">
      <c r="A2" s="36" t="s">
        <v>0</v>
      </c>
      <c r="B2" s="37" t="s">
        <v>2</v>
      </c>
      <c r="C2" s="38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  <c r="R2" s="37">
        <v>16</v>
      </c>
      <c r="S2" s="37">
        <v>17</v>
      </c>
      <c r="T2" s="37">
        <v>18</v>
      </c>
      <c r="U2" s="37">
        <v>19</v>
      </c>
      <c r="V2" s="37">
        <v>20</v>
      </c>
      <c r="W2" s="37">
        <v>21</v>
      </c>
      <c r="X2" s="37">
        <v>22</v>
      </c>
      <c r="Y2" s="37">
        <v>23</v>
      </c>
      <c r="Z2" s="37">
        <v>24</v>
      </c>
      <c r="AA2" s="37">
        <v>25</v>
      </c>
      <c r="AB2" s="37">
        <v>26</v>
      </c>
      <c r="AC2" s="37">
        <v>27</v>
      </c>
      <c r="AD2" s="37">
        <v>28</v>
      </c>
      <c r="AE2" s="37">
        <v>29</v>
      </c>
      <c r="AF2" s="37">
        <v>30</v>
      </c>
      <c r="AG2" s="37">
        <v>31</v>
      </c>
      <c r="AH2" s="37" t="s">
        <v>208</v>
      </c>
      <c r="AI2" s="35" t="s">
        <v>5</v>
      </c>
      <c r="AJ2" s="35"/>
      <c r="AK2" s="35"/>
    </row>
    <row r="3" spans="1:40" ht="21" x14ac:dyDescent="0.5">
      <c r="A3" s="37" t="s">
        <v>125</v>
      </c>
      <c r="B3" s="39"/>
      <c r="C3" s="40">
        <v>1</v>
      </c>
      <c r="D3" s="40">
        <v>1</v>
      </c>
      <c r="E3" s="40">
        <v>1</v>
      </c>
      <c r="F3" s="40">
        <v>1</v>
      </c>
      <c r="G3" s="35">
        <v>1</v>
      </c>
      <c r="H3" s="35">
        <v>0</v>
      </c>
      <c r="I3" s="35">
        <v>0</v>
      </c>
      <c r="J3" s="35">
        <v>1</v>
      </c>
      <c r="K3" s="35">
        <v>1</v>
      </c>
      <c r="L3" s="35">
        <v>1</v>
      </c>
      <c r="M3" s="35">
        <v>1</v>
      </c>
      <c r="N3" s="35">
        <v>1</v>
      </c>
      <c r="O3" s="35">
        <v>1</v>
      </c>
      <c r="P3" s="35">
        <v>1</v>
      </c>
      <c r="Q3" s="35">
        <v>1</v>
      </c>
      <c r="R3" s="35">
        <v>1</v>
      </c>
      <c r="S3" s="35">
        <v>1</v>
      </c>
      <c r="T3" s="35">
        <v>1</v>
      </c>
      <c r="U3" s="35">
        <v>1</v>
      </c>
      <c r="V3" s="35">
        <v>1</v>
      </c>
      <c r="W3" s="35">
        <v>1</v>
      </c>
      <c r="X3" s="35">
        <v>1</v>
      </c>
      <c r="Y3" s="35">
        <v>1</v>
      </c>
      <c r="Z3" s="35">
        <v>1</v>
      </c>
      <c r="AA3" s="35">
        <v>1</v>
      </c>
      <c r="AB3" s="35">
        <v>1</v>
      </c>
      <c r="AC3" s="35">
        <v>1</v>
      </c>
      <c r="AD3" s="35">
        <v>1</v>
      </c>
      <c r="AE3" s="35">
        <v>1</v>
      </c>
      <c r="AF3" s="35">
        <v>1</v>
      </c>
      <c r="AG3" s="35">
        <v>1</v>
      </c>
      <c r="AH3" s="35">
        <f>SUM(C3:AG3)</f>
        <v>29</v>
      </c>
      <c r="AI3" s="35">
        <f>60*AH3</f>
        <v>1740</v>
      </c>
      <c r="AJ3" s="43">
        <v>45727</v>
      </c>
      <c r="AK3" s="35">
        <v>1000</v>
      </c>
      <c r="AL3" s="15" t="s">
        <v>112</v>
      </c>
      <c r="AM3" s="15" t="s">
        <v>241</v>
      </c>
      <c r="AN3" s="15">
        <v>740</v>
      </c>
    </row>
    <row r="4" spans="1:40" ht="21" x14ac:dyDescent="0.5">
      <c r="A4" s="37" t="s">
        <v>206</v>
      </c>
      <c r="B4" s="39">
        <v>3364024030</v>
      </c>
      <c r="C4" s="40">
        <v>1</v>
      </c>
      <c r="D4" s="40">
        <v>0</v>
      </c>
      <c r="E4" s="40">
        <v>1</v>
      </c>
      <c r="F4" s="40">
        <v>0</v>
      </c>
      <c r="G4" s="35">
        <v>1</v>
      </c>
      <c r="H4" s="35">
        <v>1</v>
      </c>
      <c r="I4" s="35">
        <v>0</v>
      </c>
      <c r="J4" s="35">
        <v>1</v>
      </c>
      <c r="K4" s="35">
        <v>1</v>
      </c>
      <c r="L4" s="35">
        <v>1</v>
      </c>
      <c r="M4" s="35">
        <v>0</v>
      </c>
      <c r="N4" s="35">
        <v>1</v>
      </c>
      <c r="O4" s="35">
        <v>0</v>
      </c>
      <c r="P4" s="35">
        <v>0</v>
      </c>
      <c r="Q4" s="35">
        <v>1</v>
      </c>
      <c r="R4" s="35">
        <v>0</v>
      </c>
      <c r="S4" s="35">
        <v>0</v>
      </c>
      <c r="T4" s="35">
        <v>1</v>
      </c>
      <c r="U4" s="35">
        <v>0</v>
      </c>
      <c r="V4" s="35">
        <v>1</v>
      </c>
      <c r="W4" s="35">
        <v>0</v>
      </c>
      <c r="X4" s="35">
        <v>1</v>
      </c>
      <c r="Y4" s="35">
        <v>0</v>
      </c>
      <c r="Z4" s="35">
        <v>1</v>
      </c>
      <c r="AA4" s="35">
        <v>0</v>
      </c>
      <c r="AB4" s="35">
        <v>1</v>
      </c>
      <c r="AC4" s="35">
        <v>0</v>
      </c>
      <c r="AD4" s="35">
        <v>1</v>
      </c>
      <c r="AE4" s="35">
        <v>0</v>
      </c>
      <c r="AF4" s="35">
        <v>1</v>
      </c>
      <c r="AG4" s="35">
        <v>1</v>
      </c>
      <c r="AH4" s="35">
        <f t="shared" ref="AH4:AH66" si="0">SUM(C4:AG4)</f>
        <v>17</v>
      </c>
      <c r="AI4" s="35">
        <f t="shared" ref="AI4:AI66" si="1">60*AH4</f>
        <v>1020</v>
      </c>
      <c r="AJ4" s="43">
        <v>45668</v>
      </c>
      <c r="AK4" s="35">
        <v>1020</v>
      </c>
      <c r="AL4" s="15" t="s">
        <v>112</v>
      </c>
    </row>
    <row r="5" spans="1:40" ht="21" x14ac:dyDescent="0.5">
      <c r="A5" s="37" t="s">
        <v>126</v>
      </c>
      <c r="B5" s="39"/>
      <c r="C5" s="40">
        <v>2</v>
      </c>
      <c r="D5" s="40">
        <v>2</v>
      </c>
      <c r="E5" s="40">
        <v>2</v>
      </c>
      <c r="F5" s="40">
        <v>2</v>
      </c>
      <c r="G5" s="35">
        <v>2</v>
      </c>
      <c r="H5" s="35">
        <v>1</v>
      </c>
      <c r="I5" s="35">
        <v>2</v>
      </c>
      <c r="J5" s="35">
        <v>2</v>
      </c>
      <c r="K5" s="35">
        <v>2</v>
      </c>
      <c r="L5" s="35">
        <v>2</v>
      </c>
      <c r="M5" s="35">
        <v>2</v>
      </c>
      <c r="N5" s="35">
        <v>1</v>
      </c>
      <c r="O5" s="35">
        <v>2</v>
      </c>
      <c r="P5" s="35">
        <v>1</v>
      </c>
      <c r="Q5" s="35">
        <v>1</v>
      </c>
      <c r="R5" s="35">
        <v>2</v>
      </c>
      <c r="S5" s="35">
        <v>1</v>
      </c>
      <c r="T5" s="35">
        <v>1</v>
      </c>
      <c r="U5" s="35">
        <v>2</v>
      </c>
      <c r="V5" s="35">
        <v>1</v>
      </c>
      <c r="W5" s="35">
        <v>2</v>
      </c>
      <c r="X5" s="35">
        <v>2</v>
      </c>
      <c r="Y5" s="35">
        <v>2</v>
      </c>
      <c r="Z5" s="35">
        <v>1</v>
      </c>
      <c r="AA5" s="35">
        <v>3</v>
      </c>
      <c r="AB5" s="35">
        <v>2</v>
      </c>
      <c r="AC5" s="35">
        <v>1</v>
      </c>
      <c r="AD5" s="35">
        <v>2</v>
      </c>
      <c r="AE5" s="35">
        <v>2</v>
      </c>
      <c r="AF5" s="35">
        <v>2</v>
      </c>
      <c r="AG5" s="35">
        <v>2</v>
      </c>
      <c r="AH5" s="35">
        <f t="shared" si="0"/>
        <v>54</v>
      </c>
      <c r="AI5" s="35">
        <f t="shared" si="1"/>
        <v>3240</v>
      </c>
      <c r="AJ5" s="43">
        <v>45668</v>
      </c>
      <c r="AK5" s="35">
        <v>3220</v>
      </c>
      <c r="AL5" s="15" t="s">
        <v>112</v>
      </c>
    </row>
    <row r="6" spans="1:40" ht="21" x14ac:dyDescent="0.5">
      <c r="A6" s="37" t="s">
        <v>137</v>
      </c>
      <c r="B6" s="39">
        <v>3343501855</v>
      </c>
      <c r="C6" s="40">
        <v>1</v>
      </c>
      <c r="D6" s="40">
        <v>1</v>
      </c>
      <c r="E6" s="40">
        <v>1</v>
      </c>
      <c r="F6" s="40">
        <v>0</v>
      </c>
      <c r="G6" s="35">
        <v>1</v>
      </c>
      <c r="H6" s="35">
        <v>1</v>
      </c>
      <c r="I6" s="35">
        <v>1</v>
      </c>
      <c r="J6" s="35">
        <v>1</v>
      </c>
      <c r="K6" s="35">
        <v>0</v>
      </c>
      <c r="L6" s="35">
        <v>1</v>
      </c>
      <c r="M6" s="35">
        <v>1</v>
      </c>
      <c r="N6" s="35">
        <v>1</v>
      </c>
      <c r="O6" s="35">
        <v>1</v>
      </c>
      <c r="P6" s="35">
        <v>1</v>
      </c>
      <c r="Q6" s="35">
        <v>1</v>
      </c>
      <c r="R6" s="35">
        <v>1</v>
      </c>
      <c r="S6" s="35">
        <v>1</v>
      </c>
      <c r="T6" s="35">
        <v>1</v>
      </c>
      <c r="U6" s="35">
        <v>1</v>
      </c>
      <c r="V6" s="35">
        <v>1</v>
      </c>
      <c r="W6" s="35">
        <v>1</v>
      </c>
      <c r="X6" s="35">
        <v>1</v>
      </c>
      <c r="Y6" s="35">
        <v>1</v>
      </c>
      <c r="Z6" s="35">
        <v>1</v>
      </c>
      <c r="AA6" s="35">
        <v>1</v>
      </c>
      <c r="AB6" s="35">
        <v>1</v>
      </c>
      <c r="AC6" s="35">
        <v>0</v>
      </c>
      <c r="AD6" s="35">
        <v>1</v>
      </c>
      <c r="AE6" s="35">
        <v>2</v>
      </c>
      <c r="AF6" s="35">
        <v>1</v>
      </c>
      <c r="AG6" s="35">
        <v>1</v>
      </c>
      <c r="AH6" s="35">
        <f t="shared" si="0"/>
        <v>29</v>
      </c>
      <c r="AI6" s="35">
        <f t="shared" si="1"/>
        <v>1740</v>
      </c>
      <c r="AJ6" s="43">
        <v>45668</v>
      </c>
      <c r="AK6" s="35">
        <v>3220</v>
      </c>
      <c r="AL6" s="18" t="s">
        <v>112</v>
      </c>
    </row>
    <row r="7" spans="1:40" ht="21" x14ac:dyDescent="0.5">
      <c r="A7" s="37" t="s">
        <v>200</v>
      </c>
      <c r="B7" s="39"/>
      <c r="C7" s="40">
        <v>0</v>
      </c>
      <c r="D7" s="40">
        <v>1</v>
      </c>
      <c r="E7" s="40">
        <v>0</v>
      </c>
      <c r="F7" s="40">
        <v>0</v>
      </c>
      <c r="G7" s="35">
        <v>2</v>
      </c>
      <c r="H7" s="35">
        <v>0</v>
      </c>
      <c r="I7" s="35">
        <v>0</v>
      </c>
      <c r="J7" s="35">
        <v>2</v>
      </c>
      <c r="K7" s="35">
        <v>0</v>
      </c>
      <c r="L7" s="35">
        <v>1</v>
      </c>
      <c r="M7" s="35">
        <v>0</v>
      </c>
      <c r="N7" s="35">
        <v>2</v>
      </c>
      <c r="O7" s="35">
        <v>0</v>
      </c>
      <c r="P7" s="35">
        <v>2</v>
      </c>
      <c r="Q7" s="35">
        <v>0</v>
      </c>
      <c r="R7" s="35">
        <v>0</v>
      </c>
      <c r="S7" s="35">
        <v>0</v>
      </c>
      <c r="T7" s="35">
        <v>2</v>
      </c>
      <c r="U7" s="35">
        <v>0</v>
      </c>
      <c r="V7" s="35">
        <v>0</v>
      </c>
      <c r="W7" s="35">
        <v>2</v>
      </c>
      <c r="X7" s="35">
        <v>1</v>
      </c>
      <c r="Y7" s="35">
        <v>0</v>
      </c>
      <c r="Z7" s="35">
        <v>0</v>
      </c>
      <c r="AA7" s="35">
        <v>0</v>
      </c>
      <c r="AB7" s="35">
        <v>2</v>
      </c>
      <c r="AC7" s="35">
        <v>0</v>
      </c>
      <c r="AD7" s="35">
        <v>0</v>
      </c>
      <c r="AE7" s="35">
        <v>2</v>
      </c>
      <c r="AF7" s="35">
        <v>2</v>
      </c>
      <c r="AG7" s="35">
        <v>0</v>
      </c>
      <c r="AH7" s="35">
        <f t="shared" si="0"/>
        <v>21</v>
      </c>
      <c r="AI7" s="35">
        <f t="shared" si="1"/>
        <v>1260</v>
      </c>
      <c r="AJ7" s="43">
        <v>45668</v>
      </c>
      <c r="AK7" s="35">
        <v>1260</v>
      </c>
      <c r="AL7" s="18" t="s">
        <v>112</v>
      </c>
    </row>
    <row r="8" spans="1:40" ht="21" x14ac:dyDescent="0.5">
      <c r="A8" s="37" t="s">
        <v>127</v>
      </c>
      <c r="B8" s="39"/>
      <c r="C8" s="40">
        <v>1</v>
      </c>
      <c r="D8" s="40">
        <v>1</v>
      </c>
      <c r="E8" s="40">
        <v>1</v>
      </c>
      <c r="F8" s="40">
        <v>0</v>
      </c>
      <c r="G8" s="35">
        <v>0</v>
      </c>
      <c r="H8" s="35">
        <v>1</v>
      </c>
      <c r="I8" s="35">
        <v>0</v>
      </c>
      <c r="J8" s="35">
        <v>1</v>
      </c>
      <c r="K8" s="35">
        <v>0</v>
      </c>
      <c r="L8" s="35">
        <v>1</v>
      </c>
      <c r="M8" s="35">
        <v>0</v>
      </c>
      <c r="N8" s="35">
        <v>1</v>
      </c>
      <c r="O8" s="35">
        <v>0</v>
      </c>
      <c r="P8" s="35">
        <v>1</v>
      </c>
      <c r="Q8" s="35">
        <v>0</v>
      </c>
      <c r="R8" s="35">
        <v>1</v>
      </c>
      <c r="S8" s="35">
        <v>0</v>
      </c>
      <c r="T8" s="35">
        <v>1</v>
      </c>
      <c r="U8" s="35">
        <v>1</v>
      </c>
      <c r="V8" s="35">
        <v>1</v>
      </c>
      <c r="W8" s="35">
        <v>1</v>
      </c>
      <c r="X8" s="35">
        <v>0</v>
      </c>
      <c r="Y8" s="35">
        <v>1</v>
      </c>
      <c r="Z8" s="35">
        <v>0</v>
      </c>
      <c r="AA8" s="35">
        <v>1</v>
      </c>
      <c r="AB8" s="35">
        <v>1</v>
      </c>
      <c r="AC8" s="35">
        <v>0</v>
      </c>
      <c r="AD8" s="35">
        <v>1</v>
      </c>
      <c r="AE8" s="35">
        <v>0</v>
      </c>
      <c r="AF8" s="35">
        <v>1</v>
      </c>
      <c r="AG8" s="35">
        <v>1</v>
      </c>
      <c r="AH8" s="35">
        <f t="shared" si="0"/>
        <v>19</v>
      </c>
      <c r="AI8" s="35">
        <f t="shared" si="1"/>
        <v>1140</v>
      </c>
      <c r="AJ8" s="43">
        <v>45668</v>
      </c>
      <c r="AK8" s="35">
        <v>1260</v>
      </c>
      <c r="AL8" s="18" t="s">
        <v>112</v>
      </c>
    </row>
    <row r="9" spans="1:40" ht="21" x14ac:dyDescent="0.5">
      <c r="A9" s="37" t="s">
        <v>128</v>
      </c>
      <c r="B9" s="39">
        <v>3148066167</v>
      </c>
      <c r="C9" s="40">
        <v>0</v>
      </c>
      <c r="D9" s="40">
        <v>0</v>
      </c>
      <c r="E9" s="40">
        <v>0</v>
      </c>
      <c r="F9" s="40">
        <v>0</v>
      </c>
      <c r="G9" s="35">
        <v>4</v>
      </c>
      <c r="H9" s="35">
        <v>0</v>
      </c>
      <c r="I9" s="35">
        <v>0</v>
      </c>
      <c r="J9" s="35">
        <v>0</v>
      </c>
      <c r="K9" s="35">
        <v>0</v>
      </c>
      <c r="L9" s="35">
        <v>8</v>
      </c>
      <c r="M9" s="35">
        <v>0</v>
      </c>
      <c r="N9" s="35">
        <v>0</v>
      </c>
      <c r="O9" s="35">
        <v>0</v>
      </c>
      <c r="P9" s="35">
        <v>4</v>
      </c>
      <c r="Q9" s="35">
        <v>0</v>
      </c>
      <c r="R9" s="35">
        <v>0</v>
      </c>
      <c r="S9" s="35">
        <v>6</v>
      </c>
      <c r="T9" s="35">
        <v>0</v>
      </c>
      <c r="U9" s="35">
        <v>0</v>
      </c>
      <c r="V9" s="35">
        <v>0</v>
      </c>
      <c r="W9" s="35">
        <v>0</v>
      </c>
      <c r="X9" s="35">
        <v>7</v>
      </c>
      <c r="Y9" s="35">
        <v>0</v>
      </c>
      <c r="Z9" s="35">
        <v>0</v>
      </c>
      <c r="AA9" s="35">
        <v>0</v>
      </c>
      <c r="AB9" s="35">
        <v>6</v>
      </c>
      <c r="AC9" s="35">
        <v>0</v>
      </c>
      <c r="AD9" s="35">
        <v>0</v>
      </c>
      <c r="AE9" s="35">
        <v>0</v>
      </c>
      <c r="AF9" s="35">
        <v>4</v>
      </c>
      <c r="AG9" s="35">
        <v>0</v>
      </c>
      <c r="AH9" s="35">
        <f t="shared" si="0"/>
        <v>39</v>
      </c>
      <c r="AI9" s="35">
        <f t="shared" si="1"/>
        <v>2340</v>
      </c>
      <c r="AJ9" s="35"/>
      <c r="AK9" s="35"/>
    </row>
    <row r="10" spans="1:40" ht="21" x14ac:dyDescent="0.5">
      <c r="A10" s="37" t="s">
        <v>129</v>
      </c>
      <c r="B10" s="39">
        <v>3060278863</v>
      </c>
      <c r="C10" s="40">
        <v>0</v>
      </c>
      <c r="D10" s="40">
        <v>2</v>
      </c>
      <c r="E10" s="40">
        <v>0</v>
      </c>
      <c r="F10" s="40">
        <v>3</v>
      </c>
      <c r="G10" s="35">
        <v>0</v>
      </c>
      <c r="H10" s="35">
        <v>2</v>
      </c>
      <c r="I10" s="35">
        <v>0</v>
      </c>
      <c r="J10" s="35">
        <v>2</v>
      </c>
      <c r="K10" s="35">
        <v>0</v>
      </c>
      <c r="L10" s="35">
        <v>3</v>
      </c>
      <c r="M10" s="35">
        <v>0</v>
      </c>
      <c r="N10" s="35">
        <v>2</v>
      </c>
      <c r="O10" s="35">
        <v>0</v>
      </c>
      <c r="P10" s="35">
        <v>3</v>
      </c>
      <c r="Q10" s="35">
        <v>0</v>
      </c>
      <c r="R10" s="35">
        <v>2</v>
      </c>
      <c r="S10" s="35">
        <v>0</v>
      </c>
      <c r="T10" s="35">
        <v>3</v>
      </c>
      <c r="U10" s="35">
        <v>0</v>
      </c>
      <c r="V10" s="35">
        <v>1</v>
      </c>
      <c r="W10" s="35">
        <v>0</v>
      </c>
      <c r="X10" s="35">
        <v>2</v>
      </c>
      <c r="Y10" s="35">
        <v>0</v>
      </c>
      <c r="Z10" s="35">
        <v>4</v>
      </c>
      <c r="AA10" s="35">
        <v>0</v>
      </c>
      <c r="AB10" s="35">
        <v>3</v>
      </c>
      <c r="AC10" s="35">
        <v>0</v>
      </c>
      <c r="AD10" s="35">
        <v>3</v>
      </c>
      <c r="AE10" s="35">
        <v>0</v>
      </c>
      <c r="AF10" s="35">
        <v>2</v>
      </c>
      <c r="AG10" s="35">
        <v>0</v>
      </c>
      <c r="AH10" s="35">
        <f t="shared" si="0"/>
        <v>37</v>
      </c>
      <c r="AI10" s="35">
        <f t="shared" si="1"/>
        <v>2220</v>
      </c>
      <c r="AJ10" s="43">
        <v>45668</v>
      </c>
      <c r="AK10" s="35">
        <v>2220</v>
      </c>
      <c r="AL10" s="15" t="s">
        <v>112</v>
      </c>
    </row>
    <row r="11" spans="1:40" ht="21" x14ac:dyDescent="0.5">
      <c r="A11" s="37" t="s">
        <v>131</v>
      </c>
      <c r="B11" s="39"/>
      <c r="C11" s="40">
        <v>1</v>
      </c>
      <c r="D11" s="40">
        <v>2</v>
      </c>
      <c r="E11" s="40">
        <v>3</v>
      </c>
      <c r="F11" s="40">
        <v>3</v>
      </c>
      <c r="G11" s="35">
        <v>0</v>
      </c>
      <c r="H11" s="35">
        <v>4</v>
      </c>
      <c r="I11" s="35">
        <v>0</v>
      </c>
      <c r="J11" s="35">
        <v>3</v>
      </c>
      <c r="K11" s="35">
        <v>4</v>
      </c>
      <c r="L11" s="35">
        <v>4</v>
      </c>
      <c r="M11" s="35">
        <v>0</v>
      </c>
      <c r="N11" s="35">
        <v>2</v>
      </c>
      <c r="O11" s="35">
        <v>4</v>
      </c>
      <c r="P11" s="35">
        <v>4</v>
      </c>
      <c r="Q11" s="35">
        <v>2</v>
      </c>
      <c r="R11" s="35">
        <v>2</v>
      </c>
      <c r="S11" s="35">
        <v>2</v>
      </c>
      <c r="T11" s="35">
        <v>4</v>
      </c>
      <c r="U11" s="35">
        <v>1</v>
      </c>
      <c r="V11" s="35">
        <v>3</v>
      </c>
      <c r="W11" s="35">
        <v>4</v>
      </c>
      <c r="X11" s="35">
        <v>1</v>
      </c>
      <c r="Y11" s="35">
        <v>3</v>
      </c>
      <c r="Z11" s="35">
        <v>0</v>
      </c>
      <c r="AA11" s="35">
        <v>4</v>
      </c>
      <c r="AB11" s="35">
        <v>4</v>
      </c>
      <c r="AC11" s="35">
        <v>2</v>
      </c>
      <c r="AD11" s="35">
        <v>4</v>
      </c>
      <c r="AE11" s="35">
        <v>2</v>
      </c>
      <c r="AF11" s="35">
        <v>4</v>
      </c>
      <c r="AG11" s="35">
        <v>0</v>
      </c>
      <c r="AH11" s="35">
        <f t="shared" si="0"/>
        <v>76</v>
      </c>
      <c r="AI11" s="35">
        <f t="shared" si="1"/>
        <v>4560</v>
      </c>
      <c r="AJ11" s="35"/>
      <c r="AK11" s="35"/>
    </row>
    <row r="12" spans="1:40" ht="21" x14ac:dyDescent="0.5">
      <c r="A12" s="37" t="s">
        <v>130</v>
      </c>
      <c r="B12" s="39">
        <v>3149251340</v>
      </c>
      <c r="C12" s="40">
        <v>1</v>
      </c>
      <c r="D12" s="40">
        <v>0</v>
      </c>
      <c r="E12" s="40">
        <v>1</v>
      </c>
      <c r="F12" s="40">
        <v>0</v>
      </c>
      <c r="G12" s="35">
        <v>1</v>
      </c>
      <c r="H12" s="35">
        <v>0</v>
      </c>
      <c r="I12" s="35">
        <v>1</v>
      </c>
      <c r="J12" s="35">
        <v>0</v>
      </c>
      <c r="K12" s="35">
        <v>1</v>
      </c>
      <c r="L12" s="35">
        <v>0</v>
      </c>
      <c r="M12" s="35">
        <v>1</v>
      </c>
      <c r="N12" s="35">
        <v>0</v>
      </c>
      <c r="O12" s="35">
        <v>1</v>
      </c>
      <c r="P12" s="35">
        <v>0</v>
      </c>
      <c r="Q12" s="35">
        <v>1</v>
      </c>
      <c r="R12" s="35">
        <v>0</v>
      </c>
      <c r="S12" s="35">
        <v>1</v>
      </c>
      <c r="T12" s="35">
        <v>0</v>
      </c>
      <c r="U12" s="35">
        <v>1</v>
      </c>
      <c r="V12" s="35">
        <v>0</v>
      </c>
      <c r="W12" s="35">
        <v>1</v>
      </c>
      <c r="X12" s="35">
        <v>0</v>
      </c>
      <c r="Y12" s="35">
        <v>1</v>
      </c>
      <c r="Z12" s="35">
        <v>0</v>
      </c>
      <c r="AA12" s="35">
        <v>1</v>
      </c>
      <c r="AB12" s="35">
        <v>1</v>
      </c>
      <c r="AC12" s="35">
        <v>0</v>
      </c>
      <c r="AD12" s="35">
        <v>1</v>
      </c>
      <c r="AE12" s="35">
        <v>0</v>
      </c>
      <c r="AF12" s="35">
        <v>1</v>
      </c>
      <c r="AG12" s="35">
        <v>0</v>
      </c>
      <c r="AH12" s="35">
        <f t="shared" si="0"/>
        <v>16</v>
      </c>
      <c r="AI12" s="35">
        <f t="shared" si="1"/>
        <v>960</v>
      </c>
      <c r="AJ12" s="35"/>
      <c r="AK12" s="35"/>
    </row>
    <row r="13" spans="1:40" ht="21" x14ac:dyDescent="0.5">
      <c r="A13" s="37" t="s">
        <v>132</v>
      </c>
      <c r="B13" s="39">
        <v>3332229309</v>
      </c>
      <c r="C13" s="40">
        <v>1</v>
      </c>
      <c r="D13" s="40">
        <v>1</v>
      </c>
      <c r="E13" s="40">
        <v>1</v>
      </c>
      <c r="F13" s="40">
        <v>1</v>
      </c>
      <c r="G13" s="35">
        <v>0</v>
      </c>
      <c r="H13" s="35">
        <v>1</v>
      </c>
      <c r="I13" s="35">
        <v>0</v>
      </c>
      <c r="J13" s="35">
        <v>1</v>
      </c>
      <c r="K13" s="35">
        <v>1</v>
      </c>
      <c r="L13" s="35">
        <v>1</v>
      </c>
      <c r="M13" s="35">
        <v>0</v>
      </c>
      <c r="N13" s="35">
        <v>1</v>
      </c>
      <c r="O13" s="35">
        <v>0</v>
      </c>
      <c r="P13" s="35">
        <v>1</v>
      </c>
      <c r="Q13" s="35">
        <v>1</v>
      </c>
      <c r="R13" s="35">
        <v>1</v>
      </c>
      <c r="S13" s="35">
        <v>1</v>
      </c>
      <c r="T13" s="35">
        <v>0</v>
      </c>
      <c r="U13" s="35">
        <v>1</v>
      </c>
      <c r="V13" s="35">
        <v>0</v>
      </c>
      <c r="W13" s="35">
        <v>1</v>
      </c>
      <c r="X13" s="35">
        <v>1</v>
      </c>
      <c r="Y13" s="35">
        <v>1</v>
      </c>
      <c r="Z13" s="35">
        <v>0</v>
      </c>
      <c r="AA13" s="35">
        <v>1</v>
      </c>
      <c r="AB13" s="35">
        <v>0</v>
      </c>
      <c r="AC13" s="35">
        <v>0</v>
      </c>
      <c r="AD13" s="35">
        <v>1</v>
      </c>
      <c r="AE13" s="35">
        <v>0</v>
      </c>
      <c r="AF13" s="35">
        <v>1</v>
      </c>
      <c r="AG13" s="35">
        <v>0</v>
      </c>
      <c r="AH13" s="35">
        <f t="shared" si="0"/>
        <v>20</v>
      </c>
      <c r="AI13" s="35">
        <f t="shared" si="1"/>
        <v>1200</v>
      </c>
      <c r="AJ13" s="43">
        <v>45668</v>
      </c>
      <c r="AK13" s="35">
        <v>1200</v>
      </c>
      <c r="AL13" s="15" t="s">
        <v>112</v>
      </c>
    </row>
    <row r="14" spans="1:40" ht="21" x14ac:dyDescent="0.5">
      <c r="A14" s="37" t="s">
        <v>133</v>
      </c>
      <c r="B14" s="39"/>
      <c r="C14" s="40">
        <v>0</v>
      </c>
      <c r="D14" s="40">
        <v>1</v>
      </c>
      <c r="E14" s="40">
        <v>0</v>
      </c>
      <c r="F14" s="40">
        <v>1</v>
      </c>
      <c r="G14" s="35">
        <v>0</v>
      </c>
      <c r="H14" s="35">
        <v>1</v>
      </c>
      <c r="I14" s="35">
        <v>0</v>
      </c>
      <c r="J14" s="35">
        <v>1</v>
      </c>
      <c r="K14" s="35">
        <v>0</v>
      </c>
      <c r="L14" s="35">
        <v>0</v>
      </c>
      <c r="M14" s="35">
        <v>0</v>
      </c>
      <c r="N14" s="35">
        <v>1</v>
      </c>
      <c r="O14" s="35">
        <v>0</v>
      </c>
      <c r="P14" s="35">
        <v>0</v>
      </c>
      <c r="Q14" s="35">
        <v>0</v>
      </c>
      <c r="R14" s="35">
        <v>1</v>
      </c>
      <c r="S14" s="35">
        <v>0</v>
      </c>
      <c r="T14" s="35">
        <v>1</v>
      </c>
      <c r="U14" s="35">
        <v>0</v>
      </c>
      <c r="V14" s="35">
        <v>1</v>
      </c>
      <c r="W14" s="35">
        <v>0</v>
      </c>
      <c r="X14" s="35">
        <v>1</v>
      </c>
      <c r="Y14" s="35">
        <v>0</v>
      </c>
      <c r="Z14" s="35">
        <v>1</v>
      </c>
      <c r="AA14" s="35">
        <v>0</v>
      </c>
      <c r="AB14" s="35">
        <v>1</v>
      </c>
      <c r="AC14" s="35">
        <v>0</v>
      </c>
      <c r="AD14" s="35">
        <v>1</v>
      </c>
      <c r="AE14" s="35">
        <v>0</v>
      </c>
      <c r="AF14" s="35">
        <v>1</v>
      </c>
      <c r="AG14" s="35">
        <v>0</v>
      </c>
      <c r="AH14" s="35">
        <f t="shared" si="0"/>
        <v>13</v>
      </c>
      <c r="AI14" s="35">
        <f t="shared" si="1"/>
        <v>780</v>
      </c>
      <c r="AJ14" s="43">
        <v>45699</v>
      </c>
      <c r="AK14" s="35">
        <v>780</v>
      </c>
      <c r="AL14" s="15" t="s">
        <v>112</v>
      </c>
      <c r="AM14" s="15" t="s">
        <v>243</v>
      </c>
      <c r="AN14" s="15">
        <v>220</v>
      </c>
    </row>
    <row r="15" spans="1:40" ht="21" x14ac:dyDescent="0.5">
      <c r="A15" s="37" t="s">
        <v>134</v>
      </c>
      <c r="B15" s="39">
        <v>3481802364</v>
      </c>
      <c r="C15" s="40">
        <v>0</v>
      </c>
      <c r="D15" s="40">
        <v>1</v>
      </c>
      <c r="E15" s="40">
        <v>2</v>
      </c>
      <c r="F15" s="40">
        <v>0</v>
      </c>
      <c r="G15" s="35">
        <v>1</v>
      </c>
      <c r="H15" s="35">
        <v>1</v>
      </c>
      <c r="I15" s="35">
        <v>1</v>
      </c>
      <c r="J15" s="35">
        <v>1</v>
      </c>
      <c r="K15" s="35">
        <v>1</v>
      </c>
      <c r="L15" s="35">
        <v>1</v>
      </c>
      <c r="M15" s="35">
        <v>1</v>
      </c>
      <c r="N15" s="35">
        <v>1</v>
      </c>
      <c r="O15" s="35">
        <v>1</v>
      </c>
      <c r="P15" s="35">
        <v>1</v>
      </c>
      <c r="Q15" s="35">
        <v>1</v>
      </c>
      <c r="R15" s="35">
        <v>1</v>
      </c>
      <c r="S15" s="35">
        <v>1</v>
      </c>
      <c r="T15" s="35">
        <v>1</v>
      </c>
      <c r="U15" s="35">
        <v>0</v>
      </c>
      <c r="V15" s="35">
        <v>1</v>
      </c>
      <c r="W15" s="35">
        <v>1</v>
      </c>
      <c r="X15" s="35">
        <v>1</v>
      </c>
      <c r="Y15" s="35">
        <v>1</v>
      </c>
      <c r="Z15" s="35">
        <v>1</v>
      </c>
      <c r="AA15" s="35">
        <v>0</v>
      </c>
      <c r="AB15" s="35">
        <v>1</v>
      </c>
      <c r="AC15" s="35">
        <v>0</v>
      </c>
      <c r="AD15" s="35">
        <v>0</v>
      </c>
      <c r="AE15" s="35">
        <v>0</v>
      </c>
      <c r="AF15" s="35">
        <v>0</v>
      </c>
      <c r="AG15" s="35">
        <v>1</v>
      </c>
      <c r="AH15" s="35">
        <f t="shared" si="0"/>
        <v>24</v>
      </c>
      <c r="AI15" s="35">
        <f t="shared" si="1"/>
        <v>1440</v>
      </c>
      <c r="AJ15" s="35"/>
      <c r="AK15" s="35"/>
    </row>
    <row r="16" spans="1:40" ht="21" x14ac:dyDescent="0.5">
      <c r="A16" s="37" t="s">
        <v>135</v>
      </c>
      <c r="B16" s="39"/>
      <c r="C16" s="40">
        <v>1</v>
      </c>
      <c r="D16" s="40">
        <v>1</v>
      </c>
      <c r="E16" s="40">
        <v>1</v>
      </c>
      <c r="F16" s="40">
        <v>1</v>
      </c>
      <c r="G16" s="35">
        <v>0</v>
      </c>
      <c r="H16" s="35">
        <v>1</v>
      </c>
      <c r="I16" s="35">
        <v>1</v>
      </c>
      <c r="J16" s="35">
        <v>0</v>
      </c>
      <c r="K16" s="35">
        <v>1</v>
      </c>
      <c r="L16" s="35">
        <v>1</v>
      </c>
      <c r="M16" s="35">
        <v>1</v>
      </c>
      <c r="N16" s="35">
        <v>1</v>
      </c>
      <c r="O16" s="35">
        <v>1</v>
      </c>
      <c r="P16" s="35">
        <v>1</v>
      </c>
      <c r="Q16" s="35">
        <v>1</v>
      </c>
      <c r="R16" s="35">
        <v>0</v>
      </c>
      <c r="S16" s="35">
        <v>1</v>
      </c>
      <c r="T16" s="35">
        <v>1</v>
      </c>
      <c r="U16" s="35">
        <v>0</v>
      </c>
      <c r="V16" s="35">
        <v>1</v>
      </c>
      <c r="W16" s="35">
        <v>1</v>
      </c>
      <c r="X16" s="35">
        <v>1</v>
      </c>
      <c r="Y16" s="35">
        <v>1</v>
      </c>
      <c r="Z16" s="35">
        <v>0</v>
      </c>
      <c r="AA16" s="35">
        <v>1</v>
      </c>
      <c r="AB16" s="35">
        <v>1</v>
      </c>
      <c r="AC16" s="35">
        <v>0</v>
      </c>
      <c r="AD16" s="35">
        <v>1</v>
      </c>
      <c r="AE16" s="35">
        <v>1</v>
      </c>
      <c r="AF16" s="35">
        <v>1</v>
      </c>
      <c r="AG16" s="35">
        <v>1</v>
      </c>
      <c r="AH16" s="35">
        <f t="shared" si="0"/>
        <v>25</v>
      </c>
      <c r="AI16" s="35">
        <f t="shared" si="1"/>
        <v>1500</v>
      </c>
      <c r="AJ16" s="35"/>
      <c r="AK16" s="35"/>
    </row>
    <row r="17" spans="1:40" ht="21" x14ac:dyDescent="0.5">
      <c r="A17" s="37" t="s">
        <v>207</v>
      </c>
      <c r="B17" s="39"/>
      <c r="C17" s="40">
        <v>0</v>
      </c>
      <c r="D17" s="40">
        <v>1</v>
      </c>
      <c r="E17" s="40">
        <v>0</v>
      </c>
      <c r="F17" s="40">
        <v>1</v>
      </c>
      <c r="G17" s="35">
        <v>0</v>
      </c>
      <c r="H17" s="35">
        <v>1</v>
      </c>
      <c r="I17" s="35">
        <v>0</v>
      </c>
      <c r="J17" s="35">
        <v>1</v>
      </c>
      <c r="K17" s="35">
        <v>0</v>
      </c>
      <c r="L17" s="35">
        <v>1</v>
      </c>
      <c r="M17" s="35">
        <v>0</v>
      </c>
      <c r="N17" s="35">
        <v>1</v>
      </c>
      <c r="O17" s="35">
        <v>0</v>
      </c>
      <c r="P17" s="35">
        <v>1</v>
      </c>
      <c r="Q17" s="35">
        <v>0</v>
      </c>
      <c r="R17" s="35">
        <v>1</v>
      </c>
      <c r="S17" s="35">
        <v>0</v>
      </c>
      <c r="T17" s="35">
        <v>1</v>
      </c>
      <c r="U17" s="35">
        <v>0</v>
      </c>
      <c r="V17" s="35">
        <v>1</v>
      </c>
      <c r="W17" s="35">
        <v>0</v>
      </c>
      <c r="X17" s="35">
        <v>1</v>
      </c>
      <c r="Y17" s="35">
        <v>0</v>
      </c>
      <c r="Z17" s="35">
        <v>1</v>
      </c>
      <c r="AA17" s="35">
        <v>0</v>
      </c>
      <c r="AB17" s="35">
        <v>1</v>
      </c>
      <c r="AC17" s="35">
        <v>0</v>
      </c>
      <c r="AD17" s="35">
        <v>1</v>
      </c>
      <c r="AE17" s="35">
        <v>0</v>
      </c>
      <c r="AF17" s="35">
        <v>1</v>
      </c>
      <c r="AG17" s="35">
        <v>0</v>
      </c>
      <c r="AH17" s="35">
        <f t="shared" si="0"/>
        <v>15</v>
      </c>
      <c r="AI17" s="35">
        <f t="shared" si="1"/>
        <v>900</v>
      </c>
      <c r="AJ17" s="43">
        <v>45668</v>
      </c>
      <c r="AK17" s="35">
        <v>900</v>
      </c>
      <c r="AL17" s="15" t="s">
        <v>112</v>
      </c>
    </row>
    <row r="18" spans="1:40" ht="21" x14ac:dyDescent="0.5">
      <c r="A18" s="37" t="s">
        <v>136</v>
      </c>
      <c r="B18" s="39"/>
      <c r="C18" s="40">
        <v>1</v>
      </c>
      <c r="D18" s="40">
        <v>1</v>
      </c>
      <c r="E18" s="40">
        <v>1</v>
      </c>
      <c r="F18" s="40">
        <v>0</v>
      </c>
      <c r="G18" s="35">
        <v>1</v>
      </c>
      <c r="H18" s="35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0</v>
      </c>
      <c r="R18" s="35">
        <v>1</v>
      </c>
      <c r="S18" s="35">
        <v>1</v>
      </c>
      <c r="T18" s="35">
        <v>1</v>
      </c>
      <c r="U18" s="35">
        <v>1</v>
      </c>
      <c r="V18" s="35">
        <v>1</v>
      </c>
      <c r="W18" s="35">
        <v>1</v>
      </c>
      <c r="X18" s="35">
        <v>1</v>
      </c>
      <c r="Y18" s="35">
        <v>1</v>
      </c>
      <c r="Z18" s="35">
        <v>1</v>
      </c>
      <c r="AA18" s="35">
        <v>1</v>
      </c>
      <c r="AB18" s="35">
        <v>1</v>
      </c>
      <c r="AC18" s="35">
        <v>0</v>
      </c>
      <c r="AD18" s="35">
        <v>1</v>
      </c>
      <c r="AE18" s="35">
        <v>1</v>
      </c>
      <c r="AF18" s="35">
        <v>1</v>
      </c>
      <c r="AG18" s="35">
        <v>1</v>
      </c>
      <c r="AH18" s="35">
        <f t="shared" si="0"/>
        <v>28</v>
      </c>
      <c r="AI18" s="35">
        <f t="shared" si="1"/>
        <v>1680</v>
      </c>
      <c r="AJ18" s="35"/>
      <c r="AK18" s="35"/>
    </row>
    <row r="19" spans="1:40" ht="21" x14ac:dyDescent="0.5">
      <c r="A19" s="37" t="s">
        <v>138</v>
      </c>
      <c r="B19" s="39"/>
      <c r="C19" s="40">
        <v>2</v>
      </c>
      <c r="D19" s="40">
        <v>2</v>
      </c>
      <c r="E19" s="40">
        <v>0</v>
      </c>
      <c r="F19" s="40">
        <v>1</v>
      </c>
      <c r="G19" s="35">
        <v>1</v>
      </c>
      <c r="H19" s="35">
        <v>1</v>
      </c>
      <c r="I19" s="35">
        <v>1</v>
      </c>
      <c r="J19" s="35">
        <v>1</v>
      </c>
      <c r="K19" s="35">
        <v>0</v>
      </c>
      <c r="L19" s="35">
        <v>1</v>
      </c>
      <c r="M19" s="35">
        <v>2</v>
      </c>
      <c r="N19" s="35">
        <v>2</v>
      </c>
      <c r="O19" s="35">
        <v>0</v>
      </c>
      <c r="P19" s="35">
        <v>2</v>
      </c>
      <c r="Q19" s="35">
        <v>1</v>
      </c>
      <c r="R19" s="35">
        <v>1</v>
      </c>
      <c r="S19" s="35">
        <v>1</v>
      </c>
      <c r="T19" s="35">
        <v>2</v>
      </c>
      <c r="U19" s="35">
        <v>1</v>
      </c>
      <c r="V19" s="35">
        <v>2</v>
      </c>
      <c r="W19" s="35">
        <v>2</v>
      </c>
      <c r="X19" s="35">
        <v>2</v>
      </c>
      <c r="Y19" s="35">
        <v>1</v>
      </c>
      <c r="Z19" s="35">
        <v>2</v>
      </c>
      <c r="AA19" s="35">
        <v>1</v>
      </c>
      <c r="AB19" s="35">
        <v>3</v>
      </c>
      <c r="AC19" s="35">
        <v>0</v>
      </c>
      <c r="AD19" s="35">
        <v>3</v>
      </c>
      <c r="AE19" s="35">
        <v>1</v>
      </c>
      <c r="AF19" s="35">
        <v>2</v>
      </c>
      <c r="AG19" s="35">
        <v>1</v>
      </c>
      <c r="AH19" s="35">
        <f t="shared" si="0"/>
        <v>42</v>
      </c>
      <c r="AI19" s="35">
        <f t="shared" si="1"/>
        <v>2520</v>
      </c>
      <c r="AJ19" s="35"/>
      <c r="AK19" s="35"/>
    </row>
    <row r="20" spans="1:40" ht="21" x14ac:dyDescent="0.5">
      <c r="A20" s="37" t="s">
        <v>139</v>
      </c>
      <c r="B20" s="39"/>
      <c r="C20" s="40">
        <v>1</v>
      </c>
      <c r="D20" s="40">
        <v>0</v>
      </c>
      <c r="E20" s="40">
        <v>2</v>
      </c>
      <c r="F20" s="40">
        <v>2</v>
      </c>
      <c r="G20" s="35">
        <v>1</v>
      </c>
      <c r="H20" s="35">
        <v>1</v>
      </c>
      <c r="I20" s="35">
        <v>2</v>
      </c>
      <c r="J20" s="35">
        <v>1</v>
      </c>
      <c r="K20" s="35">
        <v>1</v>
      </c>
      <c r="L20" s="35">
        <v>1</v>
      </c>
      <c r="M20" s="35">
        <v>1</v>
      </c>
      <c r="N20" s="35">
        <v>1</v>
      </c>
      <c r="O20" s="35">
        <v>2</v>
      </c>
      <c r="P20" s="35">
        <v>1</v>
      </c>
      <c r="Q20" s="35">
        <v>2</v>
      </c>
      <c r="R20" s="35">
        <v>1</v>
      </c>
      <c r="S20" s="35">
        <v>1</v>
      </c>
      <c r="T20" s="35">
        <v>1</v>
      </c>
      <c r="U20" s="35">
        <v>2</v>
      </c>
      <c r="V20" s="35">
        <v>1</v>
      </c>
      <c r="W20" s="35">
        <v>2</v>
      </c>
      <c r="X20" s="35">
        <v>1</v>
      </c>
      <c r="Y20" s="35">
        <v>1</v>
      </c>
      <c r="Z20" s="35">
        <v>2</v>
      </c>
      <c r="AA20" s="35">
        <v>1</v>
      </c>
      <c r="AB20" s="35">
        <v>2</v>
      </c>
      <c r="AC20" s="35">
        <v>0</v>
      </c>
      <c r="AD20" s="35">
        <v>2</v>
      </c>
      <c r="AE20" s="35">
        <v>1</v>
      </c>
      <c r="AF20" s="35">
        <v>2</v>
      </c>
      <c r="AG20" s="35">
        <v>1</v>
      </c>
      <c r="AH20" s="35">
        <f t="shared" si="0"/>
        <v>40</v>
      </c>
      <c r="AI20" s="35">
        <f t="shared" si="1"/>
        <v>2400</v>
      </c>
      <c r="AJ20" s="35"/>
      <c r="AK20" s="35"/>
    </row>
    <row r="21" spans="1:40" ht="21" x14ac:dyDescent="0.5">
      <c r="A21" s="37" t="s">
        <v>140</v>
      </c>
      <c r="B21" s="39"/>
      <c r="C21" s="40">
        <v>1</v>
      </c>
      <c r="D21" s="40">
        <v>1</v>
      </c>
      <c r="E21" s="40">
        <v>1</v>
      </c>
      <c r="F21" s="40">
        <v>1</v>
      </c>
      <c r="G21" s="35">
        <v>2</v>
      </c>
      <c r="H21" s="35">
        <v>2</v>
      </c>
      <c r="I21" s="35">
        <v>1</v>
      </c>
      <c r="J21" s="35">
        <v>1</v>
      </c>
      <c r="K21" s="35">
        <v>1</v>
      </c>
      <c r="L21" s="35">
        <v>1</v>
      </c>
      <c r="M21" s="35">
        <v>1</v>
      </c>
      <c r="N21" s="35">
        <v>1</v>
      </c>
      <c r="O21" s="35">
        <v>2</v>
      </c>
      <c r="P21" s="35">
        <v>1</v>
      </c>
      <c r="Q21" s="35">
        <v>1</v>
      </c>
      <c r="R21" s="35">
        <v>3</v>
      </c>
      <c r="S21" s="35">
        <v>1</v>
      </c>
      <c r="T21" s="35">
        <v>1</v>
      </c>
      <c r="U21" s="35">
        <v>1</v>
      </c>
      <c r="V21" s="35">
        <v>1</v>
      </c>
      <c r="W21" s="35">
        <v>1</v>
      </c>
      <c r="X21" s="35">
        <v>1</v>
      </c>
      <c r="Y21" s="35">
        <v>2</v>
      </c>
      <c r="Z21" s="35">
        <v>1</v>
      </c>
      <c r="AA21" s="35">
        <v>1</v>
      </c>
      <c r="AB21" s="35">
        <v>3</v>
      </c>
      <c r="AC21" s="35">
        <v>0</v>
      </c>
      <c r="AD21" s="35">
        <v>3</v>
      </c>
      <c r="AE21" s="35">
        <v>2</v>
      </c>
      <c r="AF21" s="35">
        <v>2</v>
      </c>
      <c r="AG21" s="35">
        <v>3</v>
      </c>
      <c r="AH21" s="35">
        <f t="shared" si="0"/>
        <v>44</v>
      </c>
      <c r="AI21" s="35">
        <f t="shared" si="1"/>
        <v>2640</v>
      </c>
      <c r="AJ21" s="35"/>
      <c r="AK21" s="35"/>
    </row>
    <row r="22" spans="1:40" ht="21" x14ac:dyDescent="0.5">
      <c r="A22" s="37" t="s">
        <v>141</v>
      </c>
      <c r="B22" s="41" t="s">
        <v>59</v>
      </c>
      <c r="C22" s="40">
        <v>1</v>
      </c>
      <c r="D22" s="40">
        <v>2</v>
      </c>
      <c r="E22" s="40">
        <v>2</v>
      </c>
      <c r="F22" s="40">
        <v>2</v>
      </c>
      <c r="G22" s="35">
        <v>2</v>
      </c>
      <c r="H22" s="35">
        <v>1</v>
      </c>
      <c r="I22" s="35">
        <v>1</v>
      </c>
      <c r="J22" s="35">
        <v>2</v>
      </c>
      <c r="K22" s="35">
        <v>1</v>
      </c>
      <c r="L22" s="35">
        <v>1</v>
      </c>
      <c r="M22" s="35">
        <v>2</v>
      </c>
      <c r="N22" s="35">
        <v>1</v>
      </c>
      <c r="O22" s="35">
        <v>2</v>
      </c>
      <c r="P22" s="35">
        <v>2</v>
      </c>
      <c r="Q22" s="35">
        <v>2</v>
      </c>
      <c r="R22" s="35">
        <v>1</v>
      </c>
      <c r="S22" s="35">
        <v>2</v>
      </c>
      <c r="T22" s="35">
        <v>1</v>
      </c>
      <c r="U22" s="35">
        <v>1</v>
      </c>
      <c r="V22" s="35">
        <v>2</v>
      </c>
      <c r="W22" s="35">
        <v>1</v>
      </c>
      <c r="X22" s="35">
        <v>1</v>
      </c>
      <c r="Y22" s="35">
        <v>2</v>
      </c>
      <c r="Z22" s="35">
        <v>1</v>
      </c>
      <c r="AA22" s="35">
        <v>1</v>
      </c>
      <c r="AB22" s="35">
        <v>1</v>
      </c>
      <c r="AC22" s="35">
        <v>0</v>
      </c>
      <c r="AD22" s="35">
        <v>2</v>
      </c>
      <c r="AE22" s="35">
        <v>1</v>
      </c>
      <c r="AF22" s="35">
        <v>2</v>
      </c>
      <c r="AG22" s="35">
        <v>1</v>
      </c>
      <c r="AH22" s="35">
        <f t="shared" si="0"/>
        <v>44</v>
      </c>
      <c r="AI22" s="35">
        <f t="shared" si="1"/>
        <v>2640</v>
      </c>
      <c r="AJ22" s="43">
        <v>45668</v>
      </c>
      <c r="AK22" s="35">
        <v>2700</v>
      </c>
      <c r="AL22" s="15" t="s">
        <v>112</v>
      </c>
    </row>
    <row r="23" spans="1:40" ht="21" x14ac:dyDescent="0.5">
      <c r="A23" s="37" t="s">
        <v>142</v>
      </c>
      <c r="B23" s="39"/>
      <c r="C23" s="40">
        <v>1</v>
      </c>
      <c r="D23" s="40">
        <v>0</v>
      </c>
      <c r="E23" s="40">
        <v>1</v>
      </c>
      <c r="F23" s="40">
        <v>1</v>
      </c>
      <c r="G23" s="35">
        <v>1</v>
      </c>
      <c r="H23" s="35">
        <v>1</v>
      </c>
      <c r="I23" s="35">
        <v>0</v>
      </c>
      <c r="J23" s="35">
        <v>1</v>
      </c>
      <c r="K23" s="35">
        <v>1</v>
      </c>
      <c r="L23" s="35">
        <v>1</v>
      </c>
      <c r="M23" s="35">
        <v>1</v>
      </c>
      <c r="N23" s="35">
        <v>1</v>
      </c>
      <c r="O23" s="35">
        <v>0</v>
      </c>
      <c r="P23" s="35">
        <v>1</v>
      </c>
      <c r="Q23" s="35">
        <v>1</v>
      </c>
      <c r="R23" s="35">
        <v>1</v>
      </c>
      <c r="S23" s="35">
        <v>0</v>
      </c>
      <c r="T23" s="35">
        <v>1</v>
      </c>
      <c r="U23" s="35">
        <v>1</v>
      </c>
      <c r="V23" s="35">
        <v>0</v>
      </c>
      <c r="W23" s="35">
        <v>1</v>
      </c>
      <c r="X23" s="35">
        <v>1</v>
      </c>
      <c r="Y23" s="35">
        <v>2</v>
      </c>
      <c r="Z23" s="35">
        <v>0</v>
      </c>
      <c r="AA23" s="35">
        <v>1</v>
      </c>
      <c r="AB23" s="35">
        <v>1</v>
      </c>
      <c r="AC23" s="35">
        <v>1</v>
      </c>
      <c r="AD23" s="35">
        <v>1</v>
      </c>
      <c r="AE23" s="35">
        <v>0</v>
      </c>
      <c r="AF23" s="35">
        <v>1</v>
      </c>
      <c r="AG23" s="35">
        <v>1</v>
      </c>
      <c r="AH23" s="35">
        <f t="shared" si="0"/>
        <v>25</v>
      </c>
      <c r="AI23" s="35">
        <f t="shared" si="1"/>
        <v>1500</v>
      </c>
      <c r="AJ23" s="35"/>
      <c r="AK23" s="35"/>
    </row>
    <row r="24" spans="1:40" ht="21" x14ac:dyDescent="0.5">
      <c r="A24" s="37" t="s">
        <v>143</v>
      </c>
      <c r="B24" s="39"/>
      <c r="C24" s="40">
        <v>0</v>
      </c>
      <c r="D24" s="40">
        <v>0</v>
      </c>
      <c r="E24" s="40">
        <v>0</v>
      </c>
      <c r="F24" s="40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f t="shared" si="0"/>
        <v>0</v>
      </c>
      <c r="AI24" s="35">
        <f t="shared" si="1"/>
        <v>0</v>
      </c>
      <c r="AJ24" s="35"/>
      <c r="AK24" s="35"/>
    </row>
    <row r="25" spans="1:40" ht="21" x14ac:dyDescent="0.5">
      <c r="A25" s="37" t="s">
        <v>144</v>
      </c>
      <c r="B25" s="39"/>
      <c r="C25" s="40">
        <v>0</v>
      </c>
      <c r="D25" s="40">
        <v>0</v>
      </c>
      <c r="E25" s="40">
        <v>0</v>
      </c>
      <c r="F25" s="40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f t="shared" si="0"/>
        <v>0</v>
      </c>
      <c r="AI25" s="35">
        <f t="shared" si="1"/>
        <v>0</v>
      </c>
      <c r="AJ25" s="35"/>
      <c r="AK25" s="35"/>
    </row>
    <row r="26" spans="1:40" ht="21" x14ac:dyDescent="0.5">
      <c r="A26" s="37" t="s">
        <v>145</v>
      </c>
      <c r="B26" s="39"/>
      <c r="C26" s="40">
        <v>1</v>
      </c>
      <c r="D26" s="40">
        <v>0</v>
      </c>
      <c r="E26" s="40">
        <v>1</v>
      </c>
      <c r="F26" s="40">
        <v>1</v>
      </c>
      <c r="G26" s="35">
        <v>1</v>
      </c>
      <c r="H26" s="35">
        <v>1</v>
      </c>
      <c r="I26" s="35">
        <v>0</v>
      </c>
      <c r="J26" s="35">
        <v>0</v>
      </c>
      <c r="K26" s="35">
        <v>1</v>
      </c>
      <c r="L26" s="35">
        <v>1</v>
      </c>
      <c r="M26" s="35">
        <v>1</v>
      </c>
      <c r="N26" s="35">
        <v>1</v>
      </c>
      <c r="O26" s="35">
        <v>0</v>
      </c>
      <c r="P26" s="35">
        <v>1</v>
      </c>
      <c r="Q26" s="35">
        <v>2</v>
      </c>
      <c r="R26" s="35">
        <v>0</v>
      </c>
      <c r="S26" s="35">
        <v>1</v>
      </c>
      <c r="T26" s="35">
        <v>1</v>
      </c>
      <c r="U26" s="35">
        <v>1</v>
      </c>
      <c r="V26" s="35">
        <v>0</v>
      </c>
      <c r="W26" s="35">
        <v>1</v>
      </c>
      <c r="X26" s="35">
        <v>0</v>
      </c>
      <c r="Y26" s="35">
        <v>1</v>
      </c>
      <c r="Z26" s="35">
        <v>0</v>
      </c>
      <c r="AA26" s="35">
        <v>1</v>
      </c>
      <c r="AB26" s="35">
        <v>0</v>
      </c>
      <c r="AC26" s="35">
        <v>0</v>
      </c>
      <c r="AD26" s="35">
        <v>1</v>
      </c>
      <c r="AE26" s="35">
        <v>0</v>
      </c>
      <c r="AF26" s="35">
        <v>1</v>
      </c>
      <c r="AG26" s="35">
        <v>1</v>
      </c>
      <c r="AH26" s="35">
        <f t="shared" si="0"/>
        <v>21</v>
      </c>
      <c r="AI26" s="35">
        <f t="shared" si="1"/>
        <v>1260</v>
      </c>
      <c r="AJ26" s="35"/>
      <c r="AK26" s="35"/>
    </row>
    <row r="27" spans="1:40" ht="21" x14ac:dyDescent="0.5">
      <c r="A27" s="37" t="s">
        <v>146</v>
      </c>
      <c r="B27" s="39"/>
      <c r="C27" s="40">
        <v>1</v>
      </c>
      <c r="D27" s="40">
        <v>1</v>
      </c>
      <c r="E27" s="40">
        <v>1</v>
      </c>
      <c r="F27" s="40">
        <v>1</v>
      </c>
      <c r="G27" s="35">
        <v>1</v>
      </c>
      <c r="H27" s="35">
        <v>1</v>
      </c>
      <c r="I27" s="35">
        <v>1</v>
      </c>
      <c r="J27" s="35">
        <v>1</v>
      </c>
      <c r="K27" s="35">
        <v>1</v>
      </c>
      <c r="L27" s="35">
        <v>1</v>
      </c>
      <c r="M27" s="35">
        <v>1</v>
      </c>
      <c r="N27" s="35">
        <v>1</v>
      </c>
      <c r="O27" s="35">
        <v>1</v>
      </c>
      <c r="P27" s="35">
        <v>1</v>
      </c>
      <c r="Q27" s="35">
        <v>1</v>
      </c>
      <c r="R27" s="35">
        <v>1</v>
      </c>
      <c r="S27" s="35">
        <v>1</v>
      </c>
      <c r="T27" s="35">
        <v>1</v>
      </c>
      <c r="U27" s="35">
        <v>1</v>
      </c>
      <c r="V27" s="35">
        <v>1</v>
      </c>
      <c r="W27" s="35">
        <v>1</v>
      </c>
      <c r="X27" s="35">
        <v>1</v>
      </c>
      <c r="Y27" s="35">
        <v>1</v>
      </c>
      <c r="Z27" s="35">
        <v>1</v>
      </c>
      <c r="AA27" s="35">
        <v>1</v>
      </c>
      <c r="AB27" s="35">
        <v>1</v>
      </c>
      <c r="AC27" s="35">
        <v>0</v>
      </c>
      <c r="AD27" s="35">
        <v>1</v>
      </c>
      <c r="AE27" s="35">
        <v>1</v>
      </c>
      <c r="AF27" s="35">
        <v>1</v>
      </c>
      <c r="AG27" s="35">
        <v>1</v>
      </c>
      <c r="AH27" s="35">
        <f t="shared" si="0"/>
        <v>30</v>
      </c>
      <c r="AI27" s="35">
        <f t="shared" si="1"/>
        <v>1800</v>
      </c>
      <c r="AJ27" s="35"/>
      <c r="AK27" s="35"/>
    </row>
    <row r="28" spans="1:40" ht="21" x14ac:dyDescent="0.5">
      <c r="A28" s="37" t="s">
        <v>147</v>
      </c>
      <c r="B28" s="39"/>
      <c r="C28" s="40">
        <v>2</v>
      </c>
      <c r="D28" s="40">
        <v>2</v>
      </c>
      <c r="E28" s="40">
        <v>2</v>
      </c>
      <c r="F28" s="40">
        <v>2</v>
      </c>
      <c r="G28" s="35">
        <v>2</v>
      </c>
      <c r="H28" s="35">
        <v>2</v>
      </c>
      <c r="I28" s="35">
        <v>2</v>
      </c>
      <c r="J28" s="35">
        <v>2</v>
      </c>
      <c r="K28" s="35">
        <v>1</v>
      </c>
      <c r="L28" s="35">
        <v>2</v>
      </c>
      <c r="M28" s="35">
        <v>2</v>
      </c>
      <c r="N28" s="35">
        <v>2</v>
      </c>
      <c r="O28" s="35">
        <v>2</v>
      </c>
      <c r="P28" s="35">
        <v>2</v>
      </c>
      <c r="Q28" s="35">
        <v>2</v>
      </c>
      <c r="R28" s="35">
        <v>2</v>
      </c>
      <c r="S28" s="35">
        <v>2</v>
      </c>
      <c r="T28" s="35">
        <v>2</v>
      </c>
      <c r="U28" s="35">
        <v>2</v>
      </c>
      <c r="V28" s="35">
        <v>2</v>
      </c>
      <c r="W28" s="35">
        <v>2</v>
      </c>
      <c r="X28" s="35">
        <v>2</v>
      </c>
      <c r="Y28" s="35">
        <v>2</v>
      </c>
      <c r="Z28" s="35">
        <v>2</v>
      </c>
      <c r="AA28" s="35">
        <v>2</v>
      </c>
      <c r="AB28" s="35">
        <v>3</v>
      </c>
      <c r="AC28" s="35">
        <v>1</v>
      </c>
      <c r="AD28" s="35">
        <v>1</v>
      </c>
      <c r="AE28" s="35">
        <v>2</v>
      </c>
      <c r="AF28" s="35">
        <v>2</v>
      </c>
      <c r="AG28" s="35">
        <v>2</v>
      </c>
      <c r="AH28" s="35">
        <f t="shared" si="0"/>
        <v>60</v>
      </c>
      <c r="AI28" s="35">
        <f t="shared" si="1"/>
        <v>3600</v>
      </c>
      <c r="AJ28" s="43">
        <v>45699</v>
      </c>
      <c r="AK28" s="35" t="s">
        <v>240</v>
      </c>
      <c r="AL28" s="15" t="s">
        <v>112</v>
      </c>
      <c r="AM28" s="15" t="s">
        <v>241</v>
      </c>
      <c r="AN28" s="15">
        <v>1780</v>
      </c>
    </row>
    <row r="29" spans="1:40" ht="21" x14ac:dyDescent="0.5">
      <c r="A29" s="37" t="s">
        <v>148</v>
      </c>
      <c r="B29" s="39">
        <v>3053114527</v>
      </c>
      <c r="C29" s="40">
        <v>4</v>
      </c>
      <c r="D29" s="40">
        <v>0</v>
      </c>
      <c r="E29" s="40">
        <v>1</v>
      </c>
      <c r="F29" s="40">
        <v>0</v>
      </c>
      <c r="G29" s="35">
        <v>0</v>
      </c>
      <c r="H29" s="35">
        <v>2</v>
      </c>
      <c r="I29" s="35">
        <v>0</v>
      </c>
      <c r="J29" s="35">
        <v>1</v>
      </c>
      <c r="K29" s="35">
        <v>0</v>
      </c>
      <c r="L29" s="35">
        <v>1</v>
      </c>
      <c r="M29" s="35">
        <v>1</v>
      </c>
      <c r="N29" s="35">
        <v>0</v>
      </c>
      <c r="O29" s="35">
        <v>0</v>
      </c>
      <c r="P29" s="35">
        <v>2</v>
      </c>
      <c r="Q29" s="35">
        <v>0</v>
      </c>
      <c r="R29" s="35">
        <v>2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f t="shared" si="0"/>
        <v>14</v>
      </c>
      <c r="AI29" s="35">
        <f t="shared" si="1"/>
        <v>840</v>
      </c>
      <c r="AJ29" s="43">
        <v>45727</v>
      </c>
      <c r="AK29" s="35">
        <v>840</v>
      </c>
      <c r="AL29" s="15" t="s">
        <v>112</v>
      </c>
    </row>
    <row r="30" spans="1:40" ht="21" x14ac:dyDescent="0.5">
      <c r="A30" s="37" t="s">
        <v>149</v>
      </c>
      <c r="B30" s="39">
        <v>3422280563</v>
      </c>
      <c r="C30" s="40">
        <v>3</v>
      </c>
      <c r="D30" s="40">
        <v>0</v>
      </c>
      <c r="E30" s="40">
        <v>0</v>
      </c>
      <c r="F30" s="40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f t="shared" si="0"/>
        <v>3</v>
      </c>
      <c r="AI30" s="35">
        <f t="shared" si="1"/>
        <v>180</v>
      </c>
      <c r="AJ30" s="43">
        <v>45668</v>
      </c>
      <c r="AK30" s="35">
        <v>180</v>
      </c>
      <c r="AL30" s="15" t="s">
        <v>112</v>
      </c>
    </row>
    <row r="31" spans="1:40" ht="21" x14ac:dyDescent="0.5">
      <c r="A31" s="37" t="s">
        <v>150</v>
      </c>
      <c r="B31" s="39"/>
      <c r="C31" s="40">
        <v>1</v>
      </c>
      <c r="D31" s="40">
        <v>2</v>
      </c>
      <c r="E31" s="40">
        <v>2</v>
      </c>
      <c r="F31" s="40">
        <v>1</v>
      </c>
      <c r="G31" s="35">
        <v>2</v>
      </c>
      <c r="H31" s="35">
        <v>2</v>
      </c>
      <c r="I31" s="35">
        <v>1</v>
      </c>
      <c r="J31" s="35">
        <v>2</v>
      </c>
      <c r="K31" s="35">
        <v>2</v>
      </c>
      <c r="L31" s="35">
        <v>1</v>
      </c>
      <c r="M31" s="35">
        <v>1</v>
      </c>
      <c r="N31" s="35">
        <v>2</v>
      </c>
      <c r="O31" s="35">
        <v>1</v>
      </c>
      <c r="P31" s="35">
        <v>1</v>
      </c>
      <c r="Q31" s="35">
        <v>1</v>
      </c>
      <c r="R31" s="35">
        <v>1</v>
      </c>
      <c r="S31" s="35">
        <v>1</v>
      </c>
      <c r="T31" s="35">
        <v>1</v>
      </c>
      <c r="U31" s="35">
        <v>1</v>
      </c>
      <c r="V31" s="35">
        <v>1</v>
      </c>
      <c r="W31" s="35">
        <v>1</v>
      </c>
      <c r="X31" s="35">
        <v>1</v>
      </c>
      <c r="Y31" s="35">
        <v>1</v>
      </c>
      <c r="Z31" s="35">
        <v>0</v>
      </c>
      <c r="AA31" s="35">
        <v>2</v>
      </c>
      <c r="AB31" s="35">
        <v>1</v>
      </c>
      <c r="AC31" s="35">
        <v>2</v>
      </c>
      <c r="AD31" s="35">
        <v>0</v>
      </c>
      <c r="AE31" s="35">
        <v>2</v>
      </c>
      <c r="AF31" s="35">
        <v>0</v>
      </c>
      <c r="AG31" s="35">
        <v>2</v>
      </c>
      <c r="AH31" s="35">
        <f t="shared" si="0"/>
        <v>39</v>
      </c>
      <c r="AI31" s="35">
        <f t="shared" si="1"/>
        <v>2340</v>
      </c>
      <c r="AJ31" s="35"/>
      <c r="AK31" s="35"/>
    </row>
    <row r="32" spans="1:40" ht="21" x14ac:dyDescent="0.5">
      <c r="A32" s="37" t="s">
        <v>151</v>
      </c>
      <c r="B32" s="39"/>
      <c r="C32" s="40">
        <v>1</v>
      </c>
      <c r="D32" s="40">
        <v>1</v>
      </c>
      <c r="E32" s="40">
        <v>1</v>
      </c>
      <c r="F32" s="40">
        <v>1</v>
      </c>
      <c r="G32" s="35">
        <v>1</v>
      </c>
      <c r="H32" s="35">
        <v>1</v>
      </c>
      <c r="I32" s="35">
        <v>1</v>
      </c>
      <c r="J32" s="35">
        <v>1</v>
      </c>
      <c r="K32" s="35">
        <v>1</v>
      </c>
      <c r="L32" s="35">
        <v>1</v>
      </c>
      <c r="M32" s="35">
        <v>1</v>
      </c>
      <c r="N32" s="35">
        <v>1</v>
      </c>
      <c r="O32" s="35">
        <v>1</v>
      </c>
      <c r="P32" s="35">
        <v>1</v>
      </c>
      <c r="Q32" s="35">
        <v>1</v>
      </c>
      <c r="R32" s="35">
        <v>1</v>
      </c>
      <c r="S32" s="35">
        <v>1</v>
      </c>
      <c r="T32" s="35">
        <v>1</v>
      </c>
      <c r="U32" s="35">
        <v>1</v>
      </c>
      <c r="V32" s="35">
        <v>1</v>
      </c>
      <c r="W32" s="35">
        <v>1</v>
      </c>
      <c r="X32" s="35">
        <v>1</v>
      </c>
      <c r="Y32" s="35">
        <v>1</v>
      </c>
      <c r="Z32" s="35">
        <v>1</v>
      </c>
      <c r="AA32" s="35">
        <v>1</v>
      </c>
      <c r="AB32" s="35">
        <v>1</v>
      </c>
      <c r="AC32" s="35">
        <v>1</v>
      </c>
      <c r="AD32" s="35">
        <v>1</v>
      </c>
      <c r="AE32" s="35">
        <v>1</v>
      </c>
      <c r="AF32" s="35">
        <v>1</v>
      </c>
      <c r="AG32" s="35">
        <v>1</v>
      </c>
      <c r="AH32" s="35">
        <f t="shared" si="0"/>
        <v>31</v>
      </c>
      <c r="AI32" s="35">
        <f t="shared" si="1"/>
        <v>1860</v>
      </c>
      <c r="AJ32" s="43">
        <v>45758</v>
      </c>
      <c r="AK32" s="35">
        <v>1860</v>
      </c>
      <c r="AL32" s="15" t="s">
        <v>112</v>
      </c>
    </row>
    <row r="33" spans="1:40" ht="21" x14ac:dyDescent="0.5">
      <c r="A33" s="37" t="s">
        <v>152</v>
      </c>
      <c r="B33" s="39"/>
      <c r="C33" s="40">
        <v>2</v>
      </c>
      <c r="D33" s="40">
        <v>0</v>
      </c>
      <c r="E33" s="40">
        <v>1</v>
      </c>
      <c r="F33" s="40">
        <v>1</v>
      </c>
      <c r="G33" s="35">
        <v>1</v>
      </c>
      <c r="H33" s="35">
        <v>1</v>
      </c>
      <c r="I33" s="35">
        <v>0</v>
      </c>
      <c r="J33" s="35">
        <v>1</v>
      </c>
      <c r="K33" s="35">
        <v>0</v>
      </c>
      <c r="L33" s="35">
        <v>1</v>
      </c>
      <c r="M33" s="35">
        <v>1</v>
      </c>
      <c r="N33" s="35">
        <v>1</v>
      </c>
      <c r="O33" s="35">
        <v>1</v>
      </c>
      <c r="P33" s="35">
        <v>0</v>
      </c>
      <c r="Q33" s="35">
        <v>1</v>
      </c>
      <c r="R33" s="35">
        <v>1</v>
      </c>
      <c r="S33" s="35">
        <v>0</v>
      </c>
      <c r="T33" s="35">
        <v>1</v>
      </c>
      <c r="U33" s="35">
        <v>0</v>
      </c>
      <c r="V33" s="35">
        <v>1</v>
      </c>
      <c r="W33" s="35">
        <v>1</v>
      </c>
      <c r="X33" s="35">
        <v>1</v>
      </c>
      <c r="Y33" s="35">
        <v>1</v>
      </c>
      <c r="Z33" s="35">
        <v>1</v>
      </c>
      <c r="AA33" s="35">
        <v>1</v>
      </c>
      <c r="AB33" s="35">
        <v>1</v>
      </c>
      <c r="AC33" s="35">
        <v>0</v>
      </c>
      <c r="AD33" s="35">
        <v>1</v>
      </c>
      <c r="AE33" s="35">
        <v>1</v>
      </c>
      <c r="AF33" s="35">
        <v>1</v>
      </c>
      <c r="AG33" s="35">
        <v>1</v>
      </c>
      <c r="AH33" s="35">
        <f t="shared" si="0"/>
        <v>25</v>
      </c>
      <c r="AI33" s="35">
        <f t="shared" si="1"/>
        <v>1500</v>
      </c>
      <c r="AJ33" s="43">
        <v>45758</v>
      </c>
      <c r="AK33" s="35">
        <v>1500</v>
      </c>
      <c r="AL33" s="15" t="s">
        <v>112</v>
      </c>
    </row>
    <row r="34" spans="1:40" ht="21" x14ac:dyDescent="0.5">
      <c r="A34" s="37" t="s">
        <v>153</v>
      </c>
      <c r="B34" s="39"/>
      <c r="C34" s="40">
        <v>0</v>
      </c>
      <c r="D34" s="40">
        <v>0</v>
      </c>
      <c r="E34" s="40">
        <v>5</v>
      </c>
      <c r="F34" s="40">
        <v>0</v>
      </c>
      <c r="G34" s="35">
        <v>0</v>
      </c>
      <c r="H34" s="35">
        <v>2</v>
      </c>
      <c r="I34" s="35">
        <v>0</v>
      </c>
      <c r="J34" s="35">
        <v>0</v>
      </c>
      <c r="K34" s="35">
        <v>0</v>
      </c>
      <c r="L34" s="35">
        <v>0</v>
      </c>
      <c r="M34" s="35">
        <v>2</v>
      </c>
      <c r="N34" s="35">
        <v>0</v>
      </c>
      <c r="O34" s="35">
        <v>2</v>
      </c>
      <c r="P34" s="35">
        <v>2</v>
      </c>
      <c r="Q34" s="35">
        <v>2</v>
      </c>
      <c r="R34" s="35">
        <v>0</v>
      </c>
      <c r="S34" s="35">
        <v>1</v>
      </c>
      <c r="T34" s="35">
        <v>2</v>
      </c>
      <c r="U34" s="35">
        <v>0</v>
      </c>
      <c r="V34" s="35">
        <v>0</v>
      </c>
      <c r="W34" s="35">
        <v>0</v>
      </c>
      <c r="X34" s="35">
        <v>0</v>
      </c>
      <c r="Y34" s="35">
        <v>2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f t="shared" si="0"/>
        <v>20</v>
      </c>
      <c r="AI34" s="35">
        <f t="shared" si="1"/>
        <v>1200</v>
      </c>
      <c r="AJ34" s="43">
        <v>45758</v>
      </c>
      <c r="AK34" s="35">
        <v>1200</v>
      </c>
      <c r="AL34" s="15" t="s">
        <v>112</v>
      </c>
    </row>
    <row r="35" spans="1:40" ht="21" x14ac:dyDescent="0.5">
      <c r="A35" s="37" t="s">
        <v>154</v>
      </c>
      <c r="B35" s="39"/>
      <c r="C35" s="40">
        <v>0</v>
      </c>
      <c r="D35" s="40">
        <v>0</v>
      </c>
      <c r="E35" s="40">
        <v>0</v>
      </c>
      <c r="F35" s="40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2</v>
      </c>
      <c r="V35" s="35">
        <v>0</v>
      </c>
      <c r="W35" s="35">
        <v>0</v>
      </c>
      <c r="X35" s="35">
        <v>0</v>
      </c>
      <c r="Y35" s="35">
        <v>2</v>
      </c>
      <c r="Z35" s="35">
        <v>0</v>
      </c>
      <c r="AA35" s="35">
        <v>2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f t="shared" si="0"/>
        <v>6</v>
      </c>
      <c r="AI35" s="35">
        <f t="shared" si="1"/>
        <v>360</v>
      </c>
      <c r="AJ35" s="35"/>
      <c r="AK35" s="35"/>
    </row>
    <row r="36" spans="1:40" ht="21" x14ac:dyDescent="0.5">
      <c r="A36" s="37" t="s">
        <v>155</v>
      </c>
      <c r="B36" s="39"/>
      <c r="C36" s="40">
        <v>2</v>
      </c>
      <c r="D36" s="40">
        <v>1</v>
      </c>
      <c r="E36" s="40">
        <v>1</v>
      </c>
      <c r="F36" s="40">
        <v>1</v>
      </c>
      <c r="G36" s="35">
        <v>2</v>
      </c>
      <c r="H36" s="35">
        <v>1</v>
      </c>
      <c r="I36" s="35">
        <v>1</v>
      </c>
      <c r="J36" s="35">
        <v>1</v>
      </c>
      <c r="K36" s="35">
        <v>1</v>
      </c>
      <c r="L36" s="35">
        <v>1</v>
      </c>
      <c r="M36" s="35">
        <v>1</v>
      </c>
      <c r="N36" s="35">
        <v>1</v>
      </c>
      <c r="O36" s="35">
        <v>1</v>
      </c>
      <c r="P36" s="35">
        <v>1</v>
      </c>
      <c r="Q36" s="35">
        <v>1</v>
      </c>
      <c r="R36" s="35">
        <v>1</v>
      </c>
      <c r="S36" s="35">
        <v>1</v>
      </c>
      <c r="T36" s="35">
        <v>1</v>
      </c>
      <c r="U36" s="35">
        <v>2</v>
      </c>
      <c r="V36" s="35">
        <v>0</v>
      </c>
      <c r="W36" s="35">
        <v>1</v>
      </c>
      <c r="X36" s="35">
        <v>1</v>
      </c>
      <c r="Y36" s="35">
        <v>1</v>
      </c>
      <c r="Z36" s="35">
        <v>1</v>
      </c>
      <c r="AA36" s="35">
        <v>1</v>
      </c>
      <c r="AB36" s="35">
        <v>1</v>
      </c>
      <c r="AC36" s="35">
        <v>0</v>
      </c>
      <c r="AD36" s="35">
        <v>1</v>
      </c>
      <c r="AE36" s="35">
        <v>1</v>
      </c>
      <c r="AF36" s="35">
        <v>1</v>
      </c>
      <c r="AG36" s="35">
        <v>1</v>
      </c>
      <c r="AH36" s="35">
        <f t="shared" si="0"/>
        <v>32</v>
      </c>
      <c r="AI36" s="35">
        <f t="shared" si="1"/>
        <v>1920</v>
      </c>
      <c r="AJ36" s="35"/>
      <c r="AK36" s="35"/>
    </row>
    <row r="37" spans="1:40" ht="21" x14ac:dyDescent="0.5">
      <c r="A37" s="37" t="s">
        <v>156</v>
      </c>
      <c r="B37" s="39"/>
      <c r="C37" s="40">
        <v>0</v>
      </c>
      <c r="D37" s="40">
        <v>0</v>
      </c>
      <c r="E37" s="40">
        <v>0</v>
      </c>
      <c r="F37" s="40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f t="shared" si="0"/>
        <v>0</v>
      </c>
      <c r="AI37" s="35">
        <f t="shared" si="1"/>
        <v>0</v>
      </c>
      <c r="AJ37" s="35"/>
      <c r="AK37" s="35"/>
    </row>
    <row r="38" spans="1:40" ht="21" x14ac:dyDescent="0.5">
      <c r="A38" s="37" t="s">
        <v>157</v>
      </c>
      <c r="B38" s="39"/>
      <c r="C38" s="40">
        <v>0</v>
      </c>
      <c r="D38" s="40">
        <v>0</v>
      </c>
      <c r="E38" s="40">
        <v>0</v>
      </c>
      <c r="F38" s="40">
        <v>0</v>
      </c>
      <c r="G38" s="35">
        <v>1</v>
      </c>
      <c r="H38" s="35">
        <v>1</v>
      </c>
      <c r="I38" s="35">
        <v>1</v>
      </c>
      <c r="J38" s="35">
        <v>1</v>
      </c>
      <c r="K38" s="35">
        <v>1</v>
      </c>
      <c r="L38" s="35">
        <v>1</v>
      </c>
      <c r="M38" s="35">
        <v>1</v>
      </c>
      <c r="N38" s="35">
        <v>1</v>
      </c>
      <c r="O38" s="35">
        <v>1</v>
      </c>
      <c r="P38" s="35">
        <v>1</v>
      </c>
      <c r="Q38" s="35">
        <v>1</v>
      </c>
      <c r="R38" s="35">
        <v>2</v>
      </c>
      <c r="S38" s="35">
        <v>1</v>
      </c>
      <c r="T38" s="35">
        <v>1</v>
      </c>
      <c r="U38" s="35">
        <v>1</v>
      </c>
      <c r="V38" s="35">
        <v>1</v>
      </c>
      <c r="W38" s="35">
        <v>1</v>
      </c>
      <c r="X38" s="35">
        <v>1</v>
      </c>
      <c r="Y38" s="35">
        <v>1</v>
      </c>
      <c r="Z38" s="35">
        <v>1</v>
      </c>
      <c r="AA38" s="35">
        <v>1</v>
      </c>
      <c r="AB38" s="35">
        <v>1</v>
      </c>
      <c r="AC38" s="35">
        <v>1</v>
      </c>
      <c r="AD38" s="35">
        <v>1</v>
      </c>
      <c r="AE38" s="35">
        <v>1</v>
      </c>
      <c r="AF38" s="35">
        <v>1</v>
      </c>
      <c r="AG38" s="35">
        <v>1</v>
      </c>
      <c r="AH38" s="35">
        <f t="shared" si="0"/>
        <v>28</v>
      </c>
      <c r="AI38" s="35">
        <f t="shared" si="1"/>
        <v>1680</v>
      </c>
      <c r="AJ38" s="43">
        <v>45699</v>
      </c>
      <c r="AK38" s="35">
        <v>1650</v>
      </c>
      <c r="AL38" s="15" t="s">
        <v>112</v>
      </c>
    </row>
    <row r="39" spans="1:40" ht="21" x14ac:dyDescent="0.5">
      <c r="A39" s="37" t="s">
        <v>158</v>
      </c>
      <c r="B39" s="39"/>
      <c r="C39" s="40">
        <v>2</v>
      </c>
      <c r="D39" s="40">
        <v>2</v>
      </c>
      <c r="E39" s="40">
        <v>0</v>
      </c>
      <c r="F39" s="40">
        <v>0</v>
      </c>
      <c r="G39" s="35">
        <v>2</v>
      </c>
      <c r="H39" s="35">
        <v>0</v>
      </c>
      <c r="I39" s="35">
        <v>2</v>
      </c>
      <c r="J39" s="35">
        <v>0</v>
      </c>
      <c r="K39" s="35">
        <v>0</v>
      </c>
      <c r="L39" s="35">
        <v>0</v>
      </c>
      <c r="M39" s="35">
        <v>2</v>
      </c>
      <c r="N39" s="35">
        <v>0</v>
      </c>
      <c r="O39" s="35">
        <v>1</v>
      </c>
      <c r="P39" s="35">
        <v>2</v>
      </c>
      <c r="Q39" s="35">
        <v>0</v>
      </c>
      <c r="R39" s="35">
        <v>2</v>
      </c>
      <c r="S39" s="35">
        <v>0</v>
      </c>
      <c r="T39" s="35">
        <v>0</v>
      </c>
      <c r="U39" s="35">
        <v>1</v>
      </c>
      <c r="V39" s="35">
        <v>2</v>
      </c>
      <c r="W39" s="35">
        <v>0</v>
      </c>
      <c r="X39" s="35">
        <v>0</v>
      </c>
      <c r="Y39" s="35">
        <v>0</v>
      </c>
      <c r="Z39" s="35">
        <v>0</v>
      </c>
      <c r="AA39" s="35">
        <v>0</v>
      </c>
      <c r="AB39" s="35">
        <v>2</v>
      </c>
      <c r="AC39" s="35">
        <v>0</v>
      </c>
      <c r="AD39" s="35">
        <v>2</v>
      </c>
      <c r="AE39" s="35">
        <v>0</v>
      </c>
      <c r="AF39" s="35">
        <v>2</v>
      </c>
      <c r="AG39" s="35">
        <v>0</v>
      </c>
      <c r="AH39" s="35">
        <f t="shared" si="0"/>
        <v>24</v>
      </c>
      <c r="AI39" s="35">
        <f t="shared" si="1"/>
        <v>1440</v>
      </c>
      <c r="AJ39" s="35"/>
      <c r="AK39" s="35"/>
    </row>
    <row r="40" spans="1:40" ht="21" x14ac:dyDescent="0.5">
      <c r="A40" s="37" t="s">
        <v>159</v>
      </c>
      <c r="B40" s="39"/>
      <c r="C40" s="40">
        <v>2</v>
      </c>
      <c r="D40" s="40">
        <v>2</v>
      </c>
      <c r="E40" s="40">
        <v>0</v>
      </c>
      <c r="F40" s="40">
        <v>0</v>
      </c>
      <c r="G40" s="35">
        <v>2</v>
      </c>
      <c r="H40" s="35">
        <v>2</v>
      </c>
      <c r="I40" s="35">
        <v>0</v>
      </c>
      <c r="J40" s="35">
        <v>0</v>
      </c>
      <c r="K40" s="35">
        <v>0</v>
      </c>
      <c r="L40" s="35">
        <v>0</v>
      </c>
      <c r="M40" s="35">
        <v>2</v>
      </c>
      <c r="N40" s="35">
        <v>2</v>
      </c>
      <c r="O40" s="35">
        <v>0</v>
      </c>
      <c r="P40" s="35">
        <v>2</v>
      </c>
      <c r="Q40" s="35">
        <v>2</v>
      </c>
      <c r="R40" s="35">
        <v>2</v>
      </c>
      <c r="S40" s="35">
        <v>2</v>
      </c>
      <c r="T40" s="35">
        <v>2</v>
      </c>
      <c r="U40" s="35">
        <v>2</v>
      </c>
      <c r="V40" s="35">
        <v>2</v>
      </c>
      <c r="W40" s="35">
        <v>7</v>
      </c>
      <c r="X40" s="35">
        <v>0</v>
      </c>
      <c r="Y40" s="35">
        <v>0</v>
      </c>
      <c r="Z40" s="35">
        <v>2</v>
      </c>
      <c r="AA40" s="35">
        <v>2</v>
      </c>
      <c r="AB40" s="35">
        <v>1</v>
      </c>
      <c r="AC40" s="35">
        <v>2</v>
      </c>
      <c r="AD40" s="35">
        <v>2</v>
      </c>
      <c r="AE40" s="35">
        <v>0</v>
      </c>
      <c r="AF40" s="35">
        <v>1</v>
      </c>
      <c r="AG40" s="35">
        <v>2</v>
      </c>
      <c r="AH40" s="35">
        <f t="shared" si="0"/>
        <v>45</v>
      </c>
      <c r="AI40" s="35">
        <f t="shared" si="1"/>
        <v>2700</v>
      </c>
      <c r="AJ40" s="35"/>
      <c r="AK40" s="35">
        <v>880</v>
      </c>
    </row>
    <row r="41" spans="1:40" ht="21" x14ac:dyDescent="0.5">
      <c r="A41" s="37" t="s">
        <v>160</v>
      </c>
      <c r="B41" s="39"/>
      <c r="C41" s="40">
        <v>0</v>
      </c>
      <c r="D41" s="40">
        <v>0</v>
      </c>
      <c r="E41" s="40">
        <v>0</v>
      </c>
      <c r="F41" s="40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0</v>
      </c>
      <c r="Y41" s="35">
        <v>0</v>
      </c>
      <c r="Z41" s="35">
        <v>0</v>
      </c>
      <c r="AA41" s="35">
        <v>1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f t="shared" si="0"/>
        <v>1</v>
      </c>
      <c r="AI41" s="35">
        <f t="shared" si="1"/>
        <v>60</v>
      </c>
      <c r="AJ41" s="35"/>
      <c r="AK41" s="35"/>
    </row>
    <row r="42" spans="1:40" ht="21" x14ac:dyDescent="0.5">
      <c r="A42" s="37" t="s">
        <v>161</v>
      </c>
      <c r="B42" s="39"/>
      <c r="C42" s="40">
        <v>0</v>
      </c>
      <c r="D42" s="40">
        <v>0</v>
      </c>
      <c r="E42" s="40">
        <v>0</v>
      </c>
      <c r="F42" s="40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f t="shared" si="0"/>
        <v>0</v>
      </c>
      <c r="AI42" s="35">
        <f t="shared" si="1"/>
        <v>0</v>
      </c>
      <c r="AJ42" s="35"/>
      <c r="AK42" s="35"/>
    </row>
    <row r="43" spans="1:40" ht="21" x14ac:dyDescent="0.5">
      <c r="A43" s="37" t="s">
        <v>162</v>
      </c>
      <c r="B43" s="39"/>
      <c r="C43" s="40">
        <v>0</v>
      </c>
      <c r="D43" s="40">
        <v>0</v>
      </c>
      <c r="E43" s="40">
        <v>0</v>
      </c>
      <c r="F43" s="40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f t="shared" si="0"/>
        <v>0</v>
      </c>
      <c r="AI43" s="35">
        <f t="shared" si="1"/>
        <v>0</v>
      </c>
      <c r="AJ43" s="35"/>
      <c r="AK43" s="35"/>
    </row>
    <row r="44" spans="1:40" ht="21" x14ac:dyDescent="0.5">
      <c r="A44" s="37" t="s">
        <v>163</v>
      </c>
      <c r="B44" s="39"/>
      <c r="C44" s="40">
        <v>0</v>
      </c>
      <c r="D44" s="40">
        <v>1</v>
      </c>
      <c r="E44" s="40">
        <v>0</v>
      </c>
      <c r="F44" s="40">
        <v>2</v>
      </c>
      <c r="G44" s="35">
        <v>0</v>
      </c>
      <c r="H44" s="35">
        <v>0</v>
      </c>
      <c r="I44" s="35">
        <v>0</v>
      </c>
      <c r="J44" s="35">
        <v>3</v>
      </c>
      <c r="K44" s="35">
        <v>0</v>
      </c>
      <c r="L44" s="35">
        <v>2</v>
      </c>
      <c r="M44" s="35">
        <v>0</v>
      </c>
      <c r="N44" s="35">
        <v>0</v>
      </c>
      <c r="O44" s="35">
        <v>0</v>
      </c>
      <c r="P44" s="35">
        <v>3</v>
      </c>
      <c r="Q44" s="35">
        <v>0</v>
      </c>
      <c r="R44" s="35">
        <v>0</v>
      </c>
      <c r="S44" s="35">
        <v>2</v>
      </c>
      <c r="T44" s="35">
        <v>2</v>
      </c>
      <c r="U44" s="35">
        <v>0</v>
      </c>
      <c r="V44" s="35">
        <v>0</v>
      </c>
      <c r="W44" s="35">
        <v>2</v>
      </c>
      <c r="X44" s="35">
        <v>0</v>
      </c>
      <c r="Y44" s="35">
        <v>0</v>
      </c>
      <c r="Z44" s="35">
        <v>4</v>
      </c>
      <c r="AA44" s="35">
        <v>0</v>
      </c>
      <c r="AB44" s="35">
        <v>0</v>
      </c>
      <c r="AC44" s="35">
        <v>0</v>
      </c>
      <c r="AD44" s="35">
        <v>2</v>
      </c>
      <c r="AE44" s="35">
        <v>0</v>
      </c>
      <c r="AF44" s="35">
        <v>0</v>
      </c>
      <c r="AG44" s="35">
        <v>2</v>
      </c>
      <c r="AH44" s="35">
        <f t="shared" si="0"/>
        <v>25</v>
      </c>
      <c r="AI44" s="35">
        <f t="shared" si="1"/>
        <v>1500</v>
      </c>
      <c r="AJ44" s="35"/>
      <c r="AK44" s="35"/>
    </row>
    <row r="45" spans="1:40" ht="21" x14ac:dyDescent="0.5">
      <c r="A45" s="37" t="s">
        <v>164</v>
      </c>
      <c r="B45" s="39"/>
      <c r="C45" s="40">
        <v>0</v>
      </c>
      <c r="D45" s="40">
        <v>0</v>
      </c>
      <c r="E45" s="40">
        <v>0</v>
      </c>
      <c r="F45" s="40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f t="shared" si="0"/>
        <v>0</v>
      </c>
      <c r="AI45" s="35">
        <f t="shared" si="1"/>
        <v>0</v>
      </c>
      <c r="AJ45" s="35"/>
      <c r="AK45" s="35"/>
    </row>
    <row r="46" spans="1:40" ht="21" x14ac:dyDescent="0.5">
      <c r="A46" s="37" t="s">
        <v>165</v>
      </c>
      <c r="B46" s="39"/>
      <c r="C46" s="40">
        <v>1</v>
      </c>
      <c r="D46" s="40">
        <v>1</v>
      </c>
      <c r="E46" s="40">
        <v>1</v>
      </c>
      <c r="F46" s="40">
        <v>0</v>
      </c>
      <c r="G46" s="35">
        <v>0</v>
      </c>
      <c r="H46" s="40">
        <v>1</v>
      </c>
      <c r="I46" s="40">
        <v>1</v>
      </c>
      <c r="J46" s="40">
        <v>1</v>
      </c>
      <c r="K46" s="35">
        <v>1</v>
      </c>
      <c r="L46" s="35">
        <v>1</v>
      </c>
      <c r="M46" s="35">
        <v>0</v>
      </c>
      <c r="N46" s="35">
        <v>0</v>
      </c>
      <c r="O46" s="35">
        <v>1</v>
      </c>
      <c r="P46" s="35">
        <v>0</v>
      </c>
      <c r="Q46" s="35">
        <v>1</v>
      </c>
      <c r="R46" s="35">
        <v>1</v>
      </c>
      <c r="S46" s="35">
        <v>0</v>
      </c>
      <c r="T46" s="35">
        <v>0</v>
      </c>
      <c r="U46" s="35">
        <v>0</v>
      </c>
      <c r="V46" s="35">
        <v>1</v>
      </c>
      <c r="W46" s="35">
        <v>1</v>
      </c>
      <c r="X46" s="35">
        <v>1</v>
      </c>
      <c r="Y46" s="35">
        <v>1</v>
      </c>
      <c r="Z46" s="35">
        <v>1</v>
      </c>
      <c r="AA46" s="35">
        <v>0</v>
      </c>
      <c r="AB46" s="35">
        <v>0</v>
      </c>
      <c r="AC46" s="35">
        <v>1</v>
      </c>
      <c r="AD46" s="35">
        <v>1</v>
      </c>
      <c r="AE46" s="35">
        <v>1</v>
      </c>
      <c r="AF46" s="35">
        <v>1</v>
      </c>
      <c r="AG46" s="35">
        <v>1</v>
      </c>
      <c r="AH46" s="35">
        <f t="shared" si="0"/>
        <v>21</v>
      </c>
      <c r="AI46" s="35">
        <f t="shared" si="1"/>
        <v>1260</v>
      </c>
      <c r="AJ46" s="35"/>
      <c r="AK46" s="35"/>
    </row>
    <row r="47" spans="1:40" ht="21" x14ac:dyDescent="0.5">
      <c r="A47" s="37" t="s">
        <v>166</v>
      </c>
      <c r="B47" s="39"/>
      <c r="C47" s="40">
        <v>1</v>
      </c>
      <c r="D47" s="40">
        <v>1</v>
      </c>
      <c r="E47" s="40">
        <v>1</v>
      </c>
      <c r="F47" s="40">
        <v>1</v>
      </c>
      <c r="G47" s="35">
        <v>1</v>
      </c>
      <c r="H47" s="35">
        <v>1</v>
      </c>
      <c r="I47" s="35">
        <v>1</v>
      </c>
      <c r="J47" s="35">
        <v>1</v>
      </c>
      <c r="K47" s="35">
        <v>1</v>
      </c>
      <c r="L47" s="35">
        <v>1</v>
      </c>
      <c r="M47" s="35">
        <v>1</v>
      </c>
      <c r="N47" s="35">
        <v>1</v>
      </c>
      <c r="O47" s="35">
        <v>1</v>
      </c>
      <c r="P47" s="35">
        <v>1</v>
      </c>
      <c r="Q47" s="35">
        <v>0</v>
      </c>
      <c r="R47" s="35">
        <v>1</v>
      </c>
      <c r="S47" s="35">
        <v>1</v>
      </c>
      <c r="T47" s="35">
        <v>1</v>
      </c>
      <c r="U47" s="35">
        <v>1</v>
      </c>
      <c r="V47" s="35">
        <v>1</v>
      </c>
      <c r="W47" s="35">
        <v>1</v>
      </c>
      <c r="X47" s="35">
        <v>1</v>
      </c>
      <c r="Y47" s="35">
        <v>1</v>
      </c>
      <c r="Z47" s="35">
        <v>1</v>
      </c>
      <c r="AA47" s="35">
        <v>1</v>
      </c>
      <c r="AB47" s="35">
        <v>1</v>
      </c>
      <c r="AC47" s="35">
        <v>1</v>
      </c>
      <c r="AD47" s="35">
        <v>1</v>
      </c>
      <c r="AE47" s="35">
        <v>1</v>
      </c>
      <c r="AF47" s="35">
        <v>1</v>
      </c>
      <c r="AG47" s="35">
        <v>1</v>
      </c>
      <c r="AH47" s="35">
        <f t="shared" si="0"/>
        <v>30</v>
      </c>
      <c r="AI47" s="35">
        <f t="shared" si="1"/>
        <v>1800</v>
      </c>
      <c r="AJ47" s="43">
        <v>45699</v>
      </c>
      <c r="AK47" s="35">
        <v>1000</v>
      </c>
      <c r="AL47" s="15" t="s">
        <v>112</v>
      </c>
      <c r="AM47" s="15" t="s">
        <v>241</v>
      </c>
      <c r="AN47" s="15" t="s">
        <v>242</v>
      </c>
    </row>
    <row r="48" spans="1:40" ht="21" x14ac:dyDescent="0.5">
      <c r="A48" s="37" t="s">
        <v>167</v>
      </c>
      <c r="B48" s="39"/>
      <c r="C48" s="40">
        <v>0</v>
      </c>
      <c r="D48" s="40">
        <v>0</v>
      </c>
      <c r="E48" s="40">
        <v>0</v>
      </c>
      <c r="F48" s="40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2</v>
      </c>
      <c r="AA48" s="35">
        <v>1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f t="shared" si="0"/>
        <v>3</v>
      </c>
      <c r="AI48" s="35">
        <f t="shared" si="1"/>
        <v>180</v>
      </c>
      <c r="AJ48" s="35"/>
      <c r="AK48" s="35"/>
    </row>
    <row r="49" spans="1:38" ht="21" x14ac:dyDescent="0.5">
      <c r="A49" s="42" t="s">
        <v>168</v>
      </c>
      <c r="B49" s="39"/>
      <c r="C49" s="35">
        <v>0</v>
      </c>
      <c r="D49" s="40">
        <v>0</v>
      </c>
      <c r="E49" s="40">
        <v>0</v>
      </c>
      <c r="F49" s="40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/>
      <c r="AH49" s="35">
        <f t="shared" si="0"/>
        <v>0</v>
      </c>
      <c r="AI49" s="35">
        <f t="shared" si="1"/>
        <v>0</v>
      </c>
      <c r="AJ49" s="35"/>
      <c r="AK49" s="35"/>
    </row>
    <row r="50" spans="1:38" ht="21" x14ac:dyDescent="0.5">
      <c r="A50" s="42" t="s">
        <v>169</v>
      </c>
      <c r="B50" s="39"/>
      <c r="C50" s="35">
        <v>8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4</v>
      </c>
      <c r="J50" s="35">
        <v>0</v>
      </c>
      <c r="K50" s="35">
        <v>0</v>
      </c>
      <c r="L50" s="35">
        <v>0</v>
      </c>
      <c r="M50" s="35">
        <v>2</v>
      </c>
      <c r="N50" s="35">
        <v>0</v>
      </c>
      <c r="O50" s="35">
        <v>4</v>
      </c>
      <c r="P50" s="35">
        <v>0</v>
      </c>
      <c r="Q50" s="35">
        <v>0</v>
      </c>
      <c r="R50" s="35">
        <v>0</v>
      </c>
      <c r="S50" s="35">
        <v>0</v>
      </c>
      <c r="T50" s="35">
        <v>5</v>
      </c>
      <c r="U50" s="35">
        <v>0</v>
      </c>
      <c r="V50" s="35">
        <v>0</v>
      </c>
      <c r="W50" s="35">
        <v>0</v>
      </c>
      <c r="X50" s="35">
        <v>0</v>
      </c>
      <c r="Y50" s="35">
        <v>4</v>
      </c>
      <c r="Z50" s="35">
        <v>0</v>
      </c>
      <c r="AA50" s="35">
        <v>0</v>
      </c>
      <c r="AB50" s="35">
        <v>0</v>
      </c>
      <c r="AC50" s="35">
        <v>0</v>
      </c>
      <c r="AD50" s="35">
        <v>0</v>
      </c>
      <c r="AE50" s="35">
        <v>0</v>
      </c>
      <c r="AF50" s="35">
        <v>4</v>
      </c>
      <c r="AG50" s="35"/>
      <c r="AH50" s="35">
        <f t="shared" si="0"/>
        <v>31</v>
      </c>
      <c r="AI50" s="35">
        <f t="shared" si="1"/>
        <v>1860</v>
      </c>
      <c r="AJ50" s="35"/>
      <c r="AK50" s="35"/>
    </row>
    <row r="51" spans="1:38" ht="21" x14ac:dyDescent="0.5">
      <c r="A51" s="42" t="s">
        <v>170</v>
      </c>
      <c r="B51" s="39"/>
      <c r="C51" s="35">
        <v>4</v>
      </c>
      <c r="D51" s="40">
        <v>0</v>
      </c>
      <c r="E51" s="40">
        <v>4</v>
      </c>
      <c r="F51" s="40">
        <v>0</v>
      </c>
      <c r="G51" s="35">
        <v>4</v>
      </c>
      <c r="H51" s="35">
        <v>0</v>
      </c>
      <c r="I51" s="35">
        <v>4</v>
      </c>
      <c r="J51" s="35">
        <v>0</v>
      </c>
      <c r="K51" s="35">
        <v>2</v>
      </c>
      <c r="L51" s="35">
        <v>0</v>
      </c>
      <c r="M51" s="35">
        <v>5</v>
      </c>
      <c r="N51" s="35">
        <v>0</v>
      </c>
      <c r="O51" s="35">
        <v>5</v>
      </c>
      <c r="P51" s="35">
        <v>0</v>
      </c>
      <c r="Q51" s="35">
        <v>5</v>
      </c>
      <c r="R51" s="35">
        <v>0</v>
      </c>
      <c r="S51" s="35">
        <v>5</v>
      </c>
      <c r="T51" s="35">
        <v>0</v>
      </c>
      <c r="U51" s="35">
        <v>5</v>
      </c>
      <c r="V51" s="35">
        <v>0</v>
      </c>
      <c r="W51" s="35">
        <v>5</v>
      </c>
      <c r="X51" s="35">
        <v>0</v>
      </c>
      <c r="Y51" s="35">
        <v>5</v>
      </c>
      <c r="Z51" s="35">
        <v>0</v>
      </c>
      <c r="AA51" s="35">
        <v>5</v>
      </c>
      <c r="AB51" s="35">
        <v>3</v>
      </c>
      <c r="AC51" s="35">
        <v>0</v>
      </c>
      <c r="AD51" s="35">
        <v>0</v>
      </c>
      <c r="AE51" s="35">
        <v>5</v>
      </c>
      <c r="AF51" s="35">
        <v>0</v>
      </c>
      <c r="AG51" s="35">
        <v>5</v>
      </c>
      <c r="AH51" s="35">
        <f t="shared" si="0"/>
        <v>71</v>
      </c>
      <c r="AI51" s="35">
        <f t="shared" si="1"/>
        <v>4260</v>
      </c>
      <c r="AJ51" s="35" t="s">
        <v>112</v>
      </c>
      <c r="AK51" s="35">
        <v>4300</v>
      </c>
      <c r="AL51" s="15" t="s">
        <v>112</v>
      </c>
    </row>
    <row r="52" spans="1:38" ht="21" x14ac:dyDescent="0.5">
      <c r="A52" s="42" t="s">
        <v>171</v>
      </c>
      <c r="B52" s="39"/>
      <c r="C52" s="35">
        <v>0</v>
      </c>
      <c r="D52" s="40">
        <v>0</v>
      </c>
      <c r="E52" s="40">
        <v>0</v>
      </c>
      <c r="F52" s="40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f t="shared" si="0"/>
        <v>0</v>
      </c>
      <c r="AI52" s="35">
        <f t="shared" si="1"/>
        <v>0</v>
      </c>
      <c r="AJ52" s="35"/>
      <c r="AK52" s="35"/>
    </row>
    <row r="53" spans="1:38" ht="21" x14ac:dyDescent="0.5">
      <c r="A53" s="42" t="s">
        <v>172</v>
      </c>
      <c r="B53" s="39"/>
      <c r="C53" s="35">
        <v>0</v>
      </c>
      <c r="D53" s="40">
        <v>0</v>
      </c>
      <c r="E53" s="40">
        <v>0</v>
      </c>
      <c r="F53" s="40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  <c r="AB53" s="35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f t="shared" si="0"/>
        <v>0</v>
      </c>
      <c r="AI53" s="35">
        <f t="shared" si="1"/>
        <v>0</v>
      </c>
      <c r="AJ53" s="35"/>
      <c r="AK53" s="35"/>
    </row>
    <row r="54" spans="1:38" ht="21" x14ac:dyDescent="0.5">
      <c r="A54" s="42" t="s">
        <v>173</v>
      </c>
      <c r="B54" s="39"/>
      <c r="C54" s="35">
        <v>0</v>
      </c>
      <c r="D54" s="40">
        <v>0</v>
      </c>
      <c r="E54" s="40">
        <v>0</v>
      </c>
      <c r="F54" s="40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0</v>
      </c>
      <c r="W54" s="35">
        <v>0</v>
      </c>
      <c r="X54" s="35">
        <v>0</v>
      </c>
      <c r="Y54" s="35">
        <v>0</v>
      </c>
      <c r="Z54" s="35">
        <v>0</v>
      </c>
      <c r="AA54" s="35">
        <v>0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f t="shared" si="0"/>
        <v>0</v>
      </c>
      <c r="AI54" s="35">
        <f t="shared" si="1"/>
        <v>0</v>
      </c>
      <c r="AJ54" s="35"/>
      <c r="AK54" s="35"/>
    </row>
    <row r="55" spans="1:38" ht="21" x14ac:dyDescent="0.5">
      <c r="A55" s="42" t="s">
        <v>174</v>
      </c>
      <c r="B55" s="39"/>
      <c r="C55" s="35">
        <v>0</v>
      </c>
      <c r="D55" s="40">
        <v>0</v>
      </c>
      <c r="E55" s="40">
        <v>0</v>
      </c>
      <c r="F55" s="40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  <c r="U55" s="35">
        <v>0</v>
      </c>
      <c r="V55" s="35">
        <v>0</v>
      </c>
      <c r="W55" s="35">
        <v>0</v>
      </c>
      <c r="X55" s="35">
        <v>0</v>
      </c>
      <c r="Y55" s="35">
        <v>0</v>
      </c>
      <c r="Z55" s="35">
        <v>0</v>
      </c>
      <c r="AA55" s="35">
        <v>0</v>
      </c>
      <c r="AB55" s="35">
        <v>0</v>
      </c>
      <c r="AC55" s="35">
        <v>0</v>
      </c>
      <c r="AD55" s="35">
        <v>0</v>
      </c>
      <c r="AE55" s="35">
        <v>0</v>
      </c>
      <c r="AF55" s="35">
        <v>0</v>
      </c>
      <c r="AG55" s="35">
        <v>0</v>
      </c>
      <c r="AH55" s="35">
        <f t="shared" si="0"/>
        <v>0</v>
      </c>
      <c r="AI55" s="35">
        <f t="shared" si="1"/>
        <v>0</v>
      </c>
      <c r="AJ55" s="35"/>
      <c r="AK55" s="35"/>
    </row>
    <row r="56" spans="1:38" ht="21" x14ac:dyDescent="0.5">
      <c r="A56" s="42" t="s">
        <v>175</v>
      </c>
      <c r="B56" s="39"/>
      <c r="C56" s="35">
        <v>2</v>
      </c>
      <c r="D56" s="40">
        <v>0</v>
      </c>
      <c r="E56" s="40">
        <v>2</v>
      </c>
      <c r="F56" s="40">
        <v>0</v>
      </c>
      <c r="G56" s="35">
        <v>0</v>
      </c>
      <c r="H56" s="35">
        <v>2</v>
      </c>
      <c r="I56" s="35">
        <v>0</v>
      </c>
      <c r="J56" s="35">
        <v>2</v>
      </c>
      <c r="K56" s="35">
        <v>0</v>
      </c>
      <c r="L56" s="35">
        <v>0</v>
      </c>
      <c r="M56" s="35">
        <v>0</v>
      </c>
      <c r="N56" s="35">
        <v>0</v>
      </c>
      <c r="O56" s="35">
        <v>2</v>
      </c>
      <c r="P56" s="35">
        <v>0</v>
      </c>
      <c r="Q56" s="35">
        <v>0</v>
      </c>
      <c r="R56" s="35">
        <v>2</v>
      </c>
      <c r="S56" s="35">
        <v>0</v>
      </c>
      <c r="T56" s="35">
        <v>0</v>
      </c>
      <c r="U56" s="35">
        <v>2</v>
      </c>
      <c r="V56" s="35">
        <v>0</v>
      </c>
      <c r="W56" s="35">
        <v>0</v>
      </c>
      <c r="X56" s="35">
        <v>0</v>
      </c>
      <c r="Y56" s="35">
        <v>0</v>
      </c>
      <c r="Z56" s="35">
        <v>0</v>
      </c>
      <c r="AA56" s="35">
        <v>2</v>
      </c>
      <c r="AB56" s="35">
        <v>2</v>
      </c>
      <c r="AC56" s="35">
        <v>0</v>
      </c>
      <c r="AD56" s="35">
        <v>0</v>
      </c>
      <c r="AE56" s="35">
        <v>2</v>
      </c>
      <c r="AF56" s="35">
        <v>0</v>
      </c>
      <c r="AG56" s="35">
        <v>0</v>
      </c>
      <c r="AH56" s="35">
        <f t="shared" si="0"/>
        <v>20</v>
      </c>
      <c r="AI56" s="35">
        <f t="shared" si="1"/>
        <v>1200</v>
      </c>
      <c r="AJ56" s="35"/>
      <c r="AK56" s="35"/>
    </row>
    <row r="57" spans="1:38" ht="21" x14ac:dyDescent="0.5">
      <c r="A57" s="42" t="s">
        <v>176</v>
      </c>
      <c r="B57" s="39"/>
      <c r="C57" s="35">
        <v>0</v>
      </c>
      <c r="D57" s="40">
        <v>1</v>
      </c>
      <c r="E57" s="40">
        <v>0</v>
      </c>
      <c r="F57" s="40">
        <v>0</v>
      </c>
      <c r="G57" s="35">
        <v>0</v>
      </c>
      <c r="H57" s="35">
        <v>1</v>
      </c>
      <c r="I57" s="35">
        <v>0</v>
      </c>
      <c r="J57" s="35">
        <v>1</v>
      </c>
      <c r="K57" s="35">
        <v>0</v>
      </c>
      <c r="L57" s="35">
        <v>0</v>
      </c>
      <c r="M57" s="35">
        <v>1</v>
      </c>
      <c r="N57" s="35">
        <v>0</v>
      </c>
      <c r="O57" s="35">
        <v>0</v>
      </c>
      <c r="P57" s="35">
        <v>1</v>
      </c>
      <c r="Q57" s="35">
        <v>0</v>
      </c>
      <c r="R57" s="35">
        <v>1</v>
      </c>
      <c r="S57" s="35">
        <v>0</v>
      </c>
      <c r="T57" s="35">
        <v>1</v>
      </c>
      <c r="U57" s="35">
        <v>0</v>
      </c>
      <c r="V57" s="35">
        <v>1</v>
      </c>
      <c r="W57" s="35">
        <v>0</v>
      </c>
      <c r="X57" s="35">
        <v>1</v>
      </c>
      <c r="Y57" s="35">
        <v>0</v>
      </c>
      <c r="Z57" s="35">
        <v>1</v>
      </c>
      <c r="AA57" s="35">
        <v>0</v>
      </c>
      <c r="AB57" s="35">
        <v>1</v>
      </c>
      <c r="AC57" s="35">
        <v>0</v>
      </c>
      <c r="AD57" s="35">
        <v>1</v>
      </c>
      <c r="AE57" s="35">
        <v>0</v>
      </c>
      <c r="AF57" s="35">
        <v>1</v>
      </c>
      <c r="AG57" s="35">
        <v>0</v>
      </c>
      <c r="AH57" s="35">
        <f t="shared" si="0"/>
        <v>13</v>
      </c>
      <c r="AI57" s="35">
        <f t="shared" si="1"/>
        <v>780</v>
      </c>
      <c r="AJ57" s="35" t="s">
        <v>244</v>
      </c>
      <c r="AK57" s="35">
        <v>300</v>
      </c>
    </row>
    <row r="58" spans="1:38" ht="21" x14ac:dyDescent="0.5">
      <c r="A58" s="42" t="s">
        <v>177</v>
      </c>
      <c r="B58" s="39"/>
      <c r="C58" s="35">
        <v>0</v>
      </c>
      <c r="D58" s="40">
        <v>0</v>
      </c>
      <c r="E58" s="40">
        <v>0</v>
      </c>
      <c r="F58" s="40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0</v>
      </c>
      <c r="V58" s="35">
        <v>0</v>
      </c>
      <c r="W58" s="35">
        <v>0</v>
      </c>
      <c r="X58" s="35">
        <v>0</v>
      </c>
      <c r="Y58" s="35">
        <v>0</v>
      </c>
      <c r="Z58" s="35">
        <v>0</v>
      </c>
      <c r="AA58" s="35">
        <v>0</v>
      </c>
      <c r="AB58" s="35">
        <v>0</v>
      </c>
      <c r="AC58" s="35">
        <v>0</v>
      </c>
      <c r="AD58" s="35">
        <v>0</v>
      </c>
      <c r="AE58" s="35">
        <v>0</v>
      </c>
      <c r="AF58" s="35">
        <v>4</v>
      </c>
      <c r="AG58" s="35"/>
      <c r="AH58" s="35">
        <f t="shared" si="0"/>
        <v>4</v>
      </c>
      <c r="AI58" s="35">
        <f t="shared" si="1"/>
        <v>240</v>
      </c>
      <c r="AJ58" s="35"/>
      <c r="AK58" s="35"/>
    </row>
    <row r="59" spans="1:38" ht="21" x14ac:dyDescent="0.5">
      <c r="A59" s="42" t="s">
        <v>201</v>
      </c>
      <c r="B59" s="39"/>
      <c r="C59" s="35">
        <v>0</v>
      </c>
      <c r="D59" s="40">
        <v>0</v>
      </c>
      <c r="E59" s="40">
        <v>1</v>
      </c>
      <c r="F59" s="40">
        <v>0</v>
      </c>
      <c r="G59" s="35">
        <v>1</v>
      </c>
      <c r="H59" s="35">
        <v>1</v>
      </c>
      <c r="I59" s="35">
        <v>1</v>
      </c>
      <c r="J59" s="35">
        <v>1</v>
      </c>
      <c r="K59" s="35">
        <v>1</v>
      </c>
      <c r="L59" s="35">
        <v>1</v>
      </c>
      <c r="M59" s="35">
        <v>1</v>
      </c>
      <c r="N59" s="35">
        <v>1</v>
      </c>
      <c r="O59" s="35">
        <v>1</v>
      </c>
      <c r="P59" s="35">
        <v>1</v>
      </c>
      <c r="Q59" s="35">
        <v>1</v>
      </c>
      <c r="R59" s="35">
        <v>1</v>
      </c>
      <c r="S59" s="35">
        <v>1</v>
      </c>
      <c r="T59" s="35">
        <v>1</v>
      </c>
      <c r="U59" s="35">
        <v>1</v>
      </c>
      <c r="V59" s="35">
        <v>1</v>
      </c>
      <c r="W59" s="35">
        <v>1</v>
      </c>
      <c r="X59" s="35">
        <v>1</v>
      </c>
      <c r="Y59" s="35">
        <v>1</v>
      </c>
      <c r="Z59" s="35">
        <v>1</v>
      </c>
      <c r="AA59" s="35">
        <v>1</v>
      </c>
      <c r="AB59" s="35">
        <v>1</v>
      </c>
      <c r="AC59" s="35">
        <v>1</v>
      </c>
      <c r="AD59" s="35">
        <v>1</v>
      </c>
      <c r="AE59" s="35">
        <v>1</v>
      </c>
      <c r="AF59" s="35">
        <v>1</v>
      </c>
      <c r="AG59" s="35">
        <v>1</v>
      </c>
      <c r="AH59" s="35">
        <f t="shared" si="0"/>
        <v>28</v>
      </c>
      <c r="AI59" s="35">
        <f t="shared" si="1"/>
        <v>1680</v>
      </c>
      <c r="AJ59" s="43">
        <v>45727</v>
      </c>
      <c r="AK59" s="35">
        <v>1680</v>
      </c>
      <c r="AL59" s="15" t="s">
        <v>112</v>
      </c>
    </row>
    <row r="60" spans="1:38" ht="21" x14ac:dyDescent="0.5">
      <c r="A60" s="42" t="s">
        <v>202</v>
      </c>
      <c r="B60" s="39"/>
      <c r="C60" s="35">
        <v>0</v>
      </c>
      <c r="D60" s="40">
        <v>0</v>
      </c>
      <c r="E60" s="40">
        <v>0</v>
      </c>
      <c r="F60" s="40">
        <v>1</v>
      </c>
      <c r="G60" s="35">
        <v>0</v>
      </c>
      <c r="H60" s="35">
        <v>1</v>
      </c>
      <c r="I60" s="35">
        <v>0</v>
      </c>
      <c r="J60" s="35">
        <v>0</v>
      </c>
      <c r="K60" s="35">
        <v>0</v>
      </c>
      <c r="L60" s="35">
        <v>1</v>
      </c>
      <c r="M60" s="35">
        <v>0</v>
      </c>
      <c r="N60" s="35">
        <v>0</v>
      </c>
      <c r="O60" s="35">
        <v>1</v>
      </c>
      <c r="P60" s="35">
        <v>0</v>
      </c>
      <c r="Q60" s="35">
        <v>1</v>
      </c>
      <c r="R60" s="35">
        <v>0</v>
      </c>
      <c r="S60" s="35">
        <v>1</v>
      </c>
      <c r="T60" s="35">
        <v>0</v>
      </c>
      <c r="U60" s="35">
        <v>1</v>
      </c>
      <c r="V60" s="35">
        <v>0</v>
      </c>
      <c r="W60" s="35">
        <v>1</v>
      </c>
      <c r="X60" s="35">
        <v>0</v>
      </c>
      <c r="Y60" s="35">
        <v>1</v>
      </c>
      <c r="Z60" s="35">
        <v>0</v>
      </c>
      <c r="AA60" s="35">
        <v>0</v>
      </c>
      <c r="AB60" s="35">
        <v>1</v>
      </c>
      <c r="AC60" s="35">
        <v>0</v>
      </c>
      <c r="AD60" s="35">
        <v>1</v>
      </c>
      <c r="AE60" s="35">
        <v>0</v>
      </c>
      <c r="AF60" s="35">
        <v>1</v>
      </c>
      <c r="AG60" s="35">
        <v>0</v>
      </c>
      <c r="AH60" s="35">
        <f t="shared" si="0"/>
        <v>12</v>
      </c>
      <c r="AI60" s="35">
        <f t="shared" si="1"/>
        <v>720</v>
      </c>
      <c r="AJ60" s="35"/>
      <c r="AK60" s="35"/>
    </row>
    <row r="61" spans="1:38" ht="21" x14ac:dyDescent="0.5">
      <c r="A61" s="42" t="s">
        <v>203</v>
      </c>
      <c r="B61" s="39"/>
      <c r="C61" s="35">
        <v>0</v>
      </c>
      <c r="D61" s="40">
        <v>0</v>
      </c>
      <c r="E61" s="40">
        <v>0</v>
      </c>
      <c r="F61" s="40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2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3</v>
      </c>
      <c r="U61" s="35">
        <v>0</v>
      </c>
      <c r="V61" s="35">
        <v>0</v>
      </c>
      <c r="W61" s="35">
        <v>0</v>
      </c>
      <c r="X61" s="35">
        <v>0</v>
      </c>
      <c r="Y61" s="35">
        <v>0</v>
      </c>
      <c r="Z61" s="35">
        <v>0</v>
      </c>
      <c r="AA61" s="35">
        <v>4</v>
      </c>
      <c r="AB61" s="35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f t="shared" si="0"/>
        <v>9</v>
      </c>
      <c r="AI61" s="35">
        <f t="shared" si="1"/>
        <v>540</v>
      </c>
      <c r="AJ61" s="35"/>
      <c r="AK61" s="35"/>
    </row>
    <row r="62" spans="1:38" ht="21" x14ac:dyDescent="0.5">
      <c r="A62" s="42" t="s">
        <v>245</v>
      </c>
      <c r="B62" s="39"/>
      <c r="C62" s="35">
        <v>0</v>
      </c>
      <c r="D62" s="40">
        <v>0</v>
      </c>
      <c r="E62" s="40">
        <v>0</v>
      </c>
      <c r="F62" s="40">
        <v>0</v>
      </c>
      <c r="G62" s="35">
        <v>1</v>
      </c>
      <c r="H62" s="35">
        <v>0</v>
      </c>
      <c r="I62" s="35">
        <v>0</v>
      </c>
      <c r="J62" s="35">
        <v>1</v>
      </c>
      <c r="K62" s="35">
        <v>1</v>
      </c>
      <c r="L62" s="35">
        <v>1</v>
      </c>
      <c r="M62" s="35">
        <v>0</v>
      </c>
      <c r="N62" s="35">
        <v>1</v>
      </c>
      <c r="O62" s="35">
        <v>0</v>
      </c>
      <c r="P62" s="35">
        <v>1</v>
      </c>
      <c r="Q62" s="35">
        <v>0</v>
      </c>
      <c r="R62" s="35">
        <v>1</v>
      </c>
      <c r="S62" s="35">
        <v>0</v>
      </c>
      <c r="T62" s="35">
        <v>1</v>
      </c>
      <c r="U62" s="35">
        <v>0</v>
      </c>
      <c r="V62" s="35">
        <v>1</v>
      </c>
      <c r="W62" s="35">
        <v>0</v>
      </c>
      <c r="X62" s="35">
        <v>0</v>
      </c>
      <c r="Y62" s="35">
        <v>1</v>
      </c>
      <c r="Z62" s="35">
        <v>0</v>
      </c>
      <c r="AA62" s="35">
        <v>1</v>
      </c>
      <c r="AB62" s="35">
        <v>0</v>
      </c>
      <c r="AC62" s="35">
        <v>0</v>
      </c>
      <c r="AD62" s="35">
        <v>1</v>
      </c>
      <c r="AE62" s="35">
        <v>0</v>
      </c>
      <c r="AF62" s="35">
        <v>1</v>
      </c>
      <c r="AG62" s="35">
        <v>0</v>
      </c>
      <c r="AH62" s="35">
        <f t="shared" si="0"/>
        <v>13</v>
      </c>
      <c r="AI62" s="35">
        <f t="shared" si="1"/>
        <v>780</v>
      </c>
      <c r="AJ62" s="35"/>
      <c r="AK62" s="35"/>
    </row>
    <row r="63" spans="1:38" ht="21" x14ac:dyDescent="0.5">
      <c r="A63" s="42" t="s">
        <v>204</v>
      </c>
      <c r="B63" s="39"/>
      <c r="C63" s="35">
        <v>0</v>
      </c>
      <c r="D63" s="40">
        <v>0</v>
      </c>
      <c r="E63" s="40">
        <v>0</v>
      </c>
      <c r="F63" s="40">
        <v>0</v>
      </c>
      <c r="G63" s="35">
        <v>0</v>
      </c>
      <c r="H63" s="35">
        <v>0</v>
      </c>
      <c r="I63" s="35">
        <v>0</v>
      </c>
      <c r="J63" s="35">
        <v>0</v>
      </c>
      <c r="K63" s="35">
        <v>1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1</v>
      </c>
      <c r="S63" s="35">
        <v>0</v>
      </c>
      <c r="T63" s="35">
        <v>1</v>
      </c>
      <c r="U63" s="35">
        <v>1</v>
      </c>
      <c r="V63" s="35">
        <v>1</v>
      </c>
      <c r="W63" s="35">
        <v>0</v>
      </c>
      <c r="X63" s="35">
        <v>1</v>
      </c>
      <c r="Y63" s="35">
        <v>1</v>
      </c>
      <c r="Z63" s="35">
        <v>0</v>
      </c>
      <c r="AA63" s="35">
        <v>1</v>
      </c>
      <c r="AB63" s="35">
        <v>0</v>
      </c>
      <c r="AC63" s="35">
        <v>1</v>
      </c>
      <c r="AD63" s="35">
        <v>1</v>
      </c>
      <c r="AE63" s="35">
        <v>0</v>
      </c>
      <c r="AF63" s="35">
        <v>0</v>
      </c>
      <c r="AG63" s="35">
        <v>1</v>
      </c>
      <c r="AH63" s="35">
        <f t="shared" si="0"/>
        <v>11</v>
      </c>
      <c r="AI63" s="35">
        <f>50*AH63</f>
        <v>550</v>
      </c>
      <c r="AJ63" s="35"/>
      <c r="AK63" s="35"/>
    </row>
    <row r="64" spans="1:38" ht="21" x14ac:dyDescent="0.5">
      <c r="A64" s="42" t="s">
        <v>205</v>
      </c>
      <c r="B64" s="39"/>
      <c r="C64" s="35">
        <v>0</v>
      </c>
      <c r="D64" s="40">
        <v>0</v>
      </c>
      <c r="E64" s="40">
        <v>0</v>
      </c>
      <c r="F64" s="40">
        <v>0</v>
      </c>
      <c r="G64" s="35">
        <v>0</v>
      </c>
      <c r="H64" s="35">
        <v>0</v>
      </c>
      <c r="I64" s="35">
        <v>0</v>
      </c>
      <c r="J64" s="35">
        <v>0</v>
      </c>
      <c r="K64" s="35">
        <v>1</v>
      </c>
      <c r="L64" s="35">
        <v>0</v>
      </c>
      <c r="M64" s="35">
        <v>1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1</v>
      </c>
      <c r="T64" s="35">
        <v>0</v>
      </c>
      <c r="U64" s="35">
        <v>0</v>
      </c>
      <c r="V64" s="35">
        <v>0</v>
      </c>
      <c r="W64" s="35">
        <v>1</v>
      </c>
      <c r="X64" s="35">
        <v>0</v>
      </c>
      <c r="Y64" s="35">
        <v>0</v>
      </c>
      <c r="Z64" s="35">
        <v>0</v>
      </c>
      <c r="AA64" s="35">
        <v>0</v>
      </c>
      <c r="AB64" s="35">
        <v>0</v>
      </c>
      <c r="AC64" s="35">
        <v>0</v>
      </c>
      <c r="AD64" s="35">
        <v>0</v>
      </c>
      <c r="AE64" s="35">
        <v>0</v>
      </c>
      <c r="AF64" s="35">
        <v>0</v>
      </c>
      <c r="AG64" s="35">
        <v>0</v>
      </c>
      <c r="AH64" s="35">
        <f t="shared" si="0"/>
        <v>4</v>
      </c>
      <c r="AI64" s="35">
        <f t="shared" si="1"/>
        <v>240</v>
      </c>
      <c r="AJ64" s="35"/>
      <c r="AK64" s="35"/>
    </row>
    <row r="65" spans="1:38" ht="21" x14ac:dyDescent="0.5">
      <c r="A65" s="42" t="s">
        <v>246</v>
      </c>
      <c r="B65" s="39"/>
      <c r="C65" s="35">
        <v>0</v>
      </c>
      <c r="D65" s="40">
        <v>0</v>
      </c>
      <c r="E65" s="40">
        <v>0</v>
      </c>
      <c r="F65" s="40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2</v>
      </c>
      <c r="X65" s="35">
        <v>1</v>
      </c>
      <c r="Y65" s="35">
        <v>1</v>
      </c>
      <c r="Z65" s="35">
        <v>1</v>
      </c>
      <c r="AA65" s="35">
        <v>2</v>
      </c>
      <c r="AB65" s="35">
        <v>1</v>
      </c>
      <c r="AC65" s="35">
        <v>0</v>
      </c>
      <c r="AD65" s="35">
        <v>2</v>
      </c>
      <c r="AE65" s="35">
        <v>1</v>
      </c>
      <c r="AF65" s="35">
        <v>1</v>
      </c>
      <c r="AG65" s="35">
        <v>1</v>
      </c>
      <c r="AH65" s="35">
        <f t="shared" si="0"/>
        <v>13</v>
      </c>
      <c r="AI65" s="35">
        <f t="shared" si="1"/>
        <v>780</v>
      </c>
      <c r="AJ65" s="35"/>
      <c r="AK65" s="35"/>
    </row>
    <row r="66" spans="1:38" ht="21" x14ac:dyDescent="0.5">
      <c r="A66" s="42" t="s">
        <v>247</v>
      </c>
      <c r="B66" s="39"/>
      <c r="C66" s="35">
        <v>0</v>
      </c>
      <c r="D66" s="40">
        <v>0</v>
      </c>
      <c r="E66" s="40">
        <v>0</v>
      </c>
      <c r="F66" s="40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  <c r="U66" s="35">
        <v>0</v>
      </c>
      <c r="V66" s="35">
        <v>2</v>
      </c>
      <c r="W66" s="35">
        <v>2</v>
      </c>
      <c r="X66" s="35">
        <v>2</v>
      </c>
      <c r="Y66" s="35">
        <v>2</v>
      </c>
      <c r="Z66" s="35">
        <v>1</v>
      </c>
      <c r="AA66" s="35">
        <v>2</v>
      </c>
      <c r="AB66" s="35">
        <v>2</v>
      </c>
      <c r="AC66" s="35">
        <v>0</v>
      </c>
      <c r="AD66" s="35">
        <v>2</v>
      </c>
      <c r="AE66" s="35">
        <v>2</v>
      </c>
      <c r="AF66" s="35">
        <v>2</v>
      </c>
      <c r="AG66" s="35">
        <v>0</v>
      </c>
      <c r="AH66" s="35">
        <f t="shared" si="0"/>
        <v>19</v>
      </c>
      <c r="AI66" s="35">
        <f t="shared" si="1"/>
        <v>1140</v>
      </c>
      <c r="AJ66" s="43">
        <v>45668</v>
      </c>
      <c r="AK66" s="35">
        <v>1000</v>
      </c>
      <c r="AL66" s="15" t="s">
        <v>112</v>
      </c>
    </row>
    <row r="67" spans="1:38" ht="21" x14ac:dyDescent="0.5">
      <c r="A67" s="18" t="s">
        <v>248</v>
      </c>
    </row>
  </sheetData>
  <mergeCells count="1">
    <mergeCell ref="A1:AH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58"/>
  <sheetViews>
    <sheetView workbookViewId="0">
      <pane xSplit="1" ySplit="2" topLeftCell="AC45" activePane="bottomRight" state="frozen"/>
      <selection pane="topRight" activeCell="B1" sqref="B1"/>
      <selection pane="bottomLeft" activeCell="A3" sqref="A3"/>
      <selection pane="bottomRight" activeCell="AJ46" sqref="AJ46"/>
    </sheetView>
  </sheetViews>
  <sheetFormatPr defaultColWidth="9.08984375" defaultRowHeight="14.5" x14ac:dyDescent="0.35"/>
  <cols>
    <col min="1" max="1" width="42.6328125" style="15" bestFit="1" customWidth="1"/>
    <col min="2" max="2" width="17.36328125" style="15" customWidth="1"/>
    <col min="3" max="3" width="9.08984375" style="34"/>
    <col min="4" max="32" width="9.08984375" style="15"/>
    <col min="33" max="33" width="10" style="15" bestFit="1" customWidth="1"/>
    <col min="34" max="34" width="8.453125" style="15" customWidth="1"/>
    <col min="35" max="35" width="23.90625" style="15" bestFit="1" customWidth="1"/>
    <col min="36" max="16384" width="9.08984375" style="15"/>
  </cols>
  <sheetData>
    <row r="1" spans="1:36" ht="47.25" customHeight="1" x14ac:dyDescent="0.5">
      <c r="A1" s="63" t="s">
        <v>209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35"/>
      <c r="AI1" s="35"/>
      <c r="AJ1" s="35"/>
    </row>
    <row r="2" spans="1:36" ht="21.75" customHeight="1" x14ac:dyDescent="0.5">
      <c r="A2" s="36" t="s">
        <v>0</v>
      </c>
      <c r="B2" s="37" t="s">
        <v>2</v>
      </c>
      <c r="C2" s="38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  <c r="R2" s="37">
        <v>16</v>
      </c>
      <c r="S2" s="37">
        <v>17</v>
      </c>
      <c r="T2" s="37">
        <v>18</v>
      </c>
      <c r="U2" s="37">
        <v>19</v>
      </c>
      <c r="V2" s="37">
        <v>20</v>
      </c>
      <c r="W2" s="37">
        <v>21</v>
      </c>
      <c r="X2" s="37">
        <v>22</v>
      </c>
      <c r="Y2" s="37">
        <v>23</v>
      </c>
      <c r="Z2" s="37">
        <v>24</v>
      </c>
      <c r="AA2" s="37">
        <v>25</v>
      </c>
      <c r="AB2" s="37">
        <v>26</v>
      </c>
      <c r="AC2" s="37">
        <v>27</v>
      </c>
      <c r="AD2" s="37">
        <v>28</v>
      </c>
      <c r="AE2" s="37">
        <v>29</v>
      </c>
      <c r="AF2" s="37">
        <v>30</v>
      </c>
      <c r="AG2" s="37" t="s">
        <v>208</v>
      </c>
      <c r="AH2" s="35" t="s">
        <v>5</v>
      </c>
      <c r="AI2" s="35"/>
      <c r="AJ2" s="35"/>
    </row>
    <row r="3" spans="1:36" ht="21" x14ac:dyDescent="0.5">
      <c r="A3" s="37" t="s">
        <v>125</v>
      </c>
      <c r="B3" s="39"/>
      <c r="C3" s="40">
        <v>1</v>
      </c>
      <c r="D3" s="40">
        <v>1</v>
      </c>
      <c r="E3" s="40">
        <v>1</v>
      </c>
      <c r="F3" s="40">
        <v>1</v>
      </c>
      <c r="G3" s="40">
        <v>1</v>
      </c>
      <c r="H3" s="40">
        <v>1</v>
      </c>
      <c r="I3" s="40">
        <v>1</v>
      </c>
      <c r="J3" s="40">
        <v>1</v>
      </c>
      <c r="K3" s="40">
        <v>1</v>
      </c>
      <c r="L3" s="40">
        <v>1</v>
      </c>
      <c r="M3" s="40">
        <v>1</v>
      </c>
      <c r="N3" s="40">
        <v>1</v>
      </c>
      <c r="O3" s="40">
        <v>1</v>
      </c>
      <c r="P3" s="40">
        <v>1</v>
      </c>
      <c r="Q3" s="40">
        <v>1</v>
      </c>
      <c r="R3" s="40">
        <v>1</v>
      </c>
      <c r="S3" s="40">
        <v>1</v>
      </c>
      <c r="T3" s="40">
        <v>1</v>
      </c>
      <c r="U3" s="40">
        <v>1</v>
      </c>
      <c r="V3" s="40">
        <v>1</v>
      </c>
      <c r="W3" s="40">
        <v>1</v>
      </c>
      <c r="X3" s="40">
        <v>1</v>
      </c>
      <c r="Y3" s="40">
        <v>1</v>
      </c>
      <c r="Z3" s="40">
        <v>1</v>
      </c>
      <c r="AA3" s="40">
        <v>1</v>
      </c>
      <c r="AB3" s="40">
        <v>1</v>
      </c>
      <c r="AC3" s="40">
        <v>1</v>
      </c>
      <c r="AD3" s="40">
        <v>1</v>
      </c>
      <c r="AE3" s="40">
        <v>1</v>
      </c>
      <c r="AF3" s="40">
        <v>1</v>
      </c>
      <c r="AG3" s="35">
        <f t="shared" ref="AG3:AG38" si="0">SUM(C3:AF3)</f>
        <v>30</v>
      </c>
      <c r="AH3" s="35">
        <f>60*AG3</f>
        <v>1800</v>
      </c>
      <c r="AI3" s="35"/>
      <c r="AJ3" s="35"/>
    </row>
    <row r="4" spans="1:36" ht="21" x14ac:dyDescent="0.5">
      <c r="A4" s="37" t="s">
        <v>206</v>
      </c>
      <c r="B4" s="39">
        <v>3364024030</v>
      </c>
      <c r="C4" s="40">
        <v>1</v>
      </c>
      <c r="D4" s="40">
        <v>0</v>
      </c>
      <c r="E4" s="40">
        <v>2</v>
      </c>
      <c r="F4" s="40">
        <v>0</v>
      </c>
      <c r="G4" s="40">
        <v>1</v>
      </c>
      <c r="H4" s="40">
        <v>0</v>
      </c>
      <c r="I4" s="40">
        <v>0</v>
      </c>
      <c r="J4" s="40">
        <v>2</v>
      </c>
      <c r="K4" s="40">
        <v>0</v>
      </c>
      <c r="L4" s="40">
        <v>1</v>
      </c>
      <c r="M4" s="40">
        <v>0</v>
      </c>
      <c r="N4" s="40">
        <v>1</v>
      </c>
      <c r="O4" s="40">
        <v>0</v>
      </c>
      <c r="P4" s="40">
        <v>1</v>
      </c>
      <c r="Q4" s="40">
        <v>0</v>
      </c>
      <c r="R4" s="40">
        <v>1</v>
      </c>
      <c r="S4" s="40">
        <v>1</v>
      </c>
      <c r="T4" s="40">
        <v>0</v>
      </c>
      <c r="U4" s="40">
        <v>0</v>
      </c>
      <c r="V4" s="40">
        <v>1</v>
      </c>
      <c r="W4" s="40">
        <v>0</v>
      </c>
      <c r="X4" s="40">
        <v>0</v>
      </c>
      <c r="Y4" s="40">
        <v>1</v>
      </c>
      <c r="Z4" s="40">
        <v>0</v>
      </c>
      <c r="AA4" s="40">
        <v>1</v>
      </c>
      <c r="AB4" s="40">
        <v>0</v>
      </c>
      <c r="AC4" s="40">
        <v>1</v>
      </c>
      <c r="AD4" s="40">
        <v>0</v>
      </c>
      <c r="AE4" s="40">
        <v>1</v>
      </c>
      <c r="AF4" s="40">
        <v>0</v>
      </c>
      <c r="AG4" s="35">
        <f t="shared" si="0"/>
        <v>16</v>
      </c>
      <c r="AH4" s="35">
        <f t="shared" ref="AH4:AH50" si="1">60*AG4</f>
        <v>960</v>
      </c>
      <c r="AI4" s="35"/>
      <c r="AJ4" s="35"/>
    </row>
    <row r="5" spans="1:36" ht="21" x14ac:dyDescent="0.5">
      <c r="A5" s="37" t="s">
        <v>126</v>
      </c>
      <c r="B5" s="39"/>
      <c r="C5" s="40">
        <v>2</v>
      </c>
      <c r="D5" s="40">
        <v>2</v>
      </c>
      <c r="E5" s="40">
        <v>1</v>
      </c>
      <c r="F5" s="40">
        <v>2</v>
      </c>
      <c r="G5" s="40">
        <v>2</v>
      </c>
      <c r="H5" s="40">
        <v>1</v>
      </c>
      <c r="I5" s="40">
        <v>2</v>
      </c>
      <c r="J5" s="40">
        <v>2</v>
      </c>
      <c r="K5" s="40">
        <v>1</v>
      </c>
      <c r="L5" s="40">
        <v>2</v>
      </c>
      <c r="M5" s="40">
        <v>2</v>
      </c>
      <c r="N5" s="40">
        <v>2</v>
      </c>
      <c r="O5" s="40">
        <v>2</v>
      </c>
      <c r="P5" s="40">
        <v>1</v>
      </c>
      <c r="Q5" s="40">
        <v>2</v>
      </c>
      <c r="R5" s="40">
        <v>1</v>
      </c>
      <c r="S5" s="40">
        <v>2</v>
      </c>
      <c r="T5" s="40">
        <v>1</v>
      </c>
      <c r="U5" s="40">
        <v>1</v>
      </c>
      <c r="V5" s="40">
        <v>1</v>
      </c>
      <c r="W5" s="40">
        <v>2</v>
      </c>
      <c r="X5" s="40">
        <v>2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13</v>
      </c>
      <c r="AG5" s="35">
        <f t="shared" si="0"/>
        <v>49</v>
      </c>
      <c r="AH5" s="35">
        <f t="shared" si="1"/>
        <v>2940</v>
      </c>
      <c r="AI5" s="35"/>
      <c r="AJ5" s="35"/>
    </row>
    <row r="6" spans="1:36" ht="21" x14ac:dyDescent="0.5">
      <c r="A6" s="37" t="s">
        <v>137</v>
      </c>
      <c r="B6" s="39">
        <v>3343501855</v>
      </c>
      <c r="C6" s="40">
        <v>1</v>
      </c>
      <c r="D6" s="40">
        <v>1</v>
      </c>
      <c r="E6" s="40">
        <v>1</v>
      </c>
      <c r="F6" s="40">
        <v>1</v>
      </c>
      <c r="G6" s="40">
        <v>1</v>
      </c>
      <c r="H6" s="40">
        <v>0</v>
      </c>
      <c r="I6" s="40">
        <v>2</v>
      </c>
      <c r="J6" s="40">
        <v>1</v>
      </c>
      <c r="K6" s="40">
        <v>1</v>
      </c>
      <c r="L6" s="40">
        <v>1</v>
      </c>
      <c r="M6" s="40">
        <v>1</v>
      </c>
      <c r="N6" s="40">
        <v>1</v>
      </c>
      <c r="O6" s="40">
        <v>1</v>
      </c>
      <c r="P6" s="40">
        <v>1</v>
      </c>
      <c r="Q6" s="40">
        <v>1</v>
      </c>
      <c r="R6" s="40">
        <v>1</v>
      </c>
      <c r="S6" s="40">
        <v>1</v>
      </c>
      <c r="T6" s="40">
        <v>1</v>
      </c>
      <c r="U6" s="40">
        <v>0</v>
      </c>
      <c r="V6" s="40">
        <v>1</v>
      </c>
      <c r="W6" s="40">
        <v>1</v>
      </c>
      <c r="X6" s="40">
        <v>1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9</v>
      </c>
      <c r="AG6" s="35">
        <f t="shared" si="0"/>
        <v>30</v>
      </c>
      <c r="AH6" s="35">
        <f t="shared" si="1"/>
        <v>1800</v>
      </c>
      <c r="AI6" s="35"/>
      <c r="AJ6" s="35"/>
    </row>
    <row r="7" spans="1:36" ht="21" x14ac:dyDescent="0.5">
      <c r="A7" s="37" t="s">
        <v>200</v>
      </c>
      <c r="B7" s="39"/>
      <c r="C7" s="40">
        <v>0</v>
      </c>
      <c r="D7" s="40">
        <v>2</v>
      </c>
      <c r="E7" s="40">
        <v>0</v>
      </c>
      <c r="F7" s="40">
        <v>0</v>
      </c>
      <c r="G7" s="40">
        <v>0</v>
      </c>
      <c r="H7" s="40">
        <v>2</v>
      </c>
      <c r="I7" s="40">
        <v>0</v>
      </c>
      <c r="J7" s="40">
        <v>0</v>
      </c>
      <c r="K7" s="40">
        <v>0</v>
      </c>
      <c r="L7" s="40">
        <v>2</v>
      </c>
      <c r="M7" s="40">
        <v>0</v>
      </c>
      <c r="N7" s="40">
        <v>0</v>
      </c>
      <c r="O7" s="40">
        <v>1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2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4</v>
      </c>
      <c r="AG7" s="35">
        <f t="shared" si="0"/>
        <v>13</v>
      </c>
      <c r="AH7" s="35">
        <f t="shared" si="1"/>
        <v>780</v>
      </c>
      <c r="AI7" s="35"/>
      <c r="AJ7" s="35"/>
    </row>
    <row r="8" spans="1:36" ht="21" x14ac:dyDescent="0.5">
      <c r="A8" s="37" t="s">
        <v>127</v>
      </c>
      <c r="B8" s="39"/>
      <c r="C8" s="40">
        <v>1</v>
      </c>
      <c r="D8" s="40">
        <v>0</v>
      </c>
      <c r="E8" s="40">
        <v>1</v>
      </c>
      <c r="F8" s="40">
        <v>0</v>
      </c>
      <c r="G8" s="40">
        <v>0</v>
      </c>
      <c r="H8" s="40">
        <v>1</v>
      </c>
      <c r="I8" s="40">
        <v>0</v>
      </c>
      <c r="J8" s="40">
        <v>1</v>
      </c>
      <c r="K8" s="40">
        <v>0</v>
      </c>
      <c r="L8" s="40">
        <v>1</v>
      </c>
      <c r="M8" s="40">
        <v>0</v>
      </c>
      <c r="N8" s="40">
        <v>1</v>
      </c>
      <c r="O8" s="40">
        <v>0</v>
      </c>
      <c r="P8" s="40">
        <v>1</v>
      </c>
      <c r="Q8" s="40">
        <v>0</v>
      </c>
      <c r="R8" s="40">
        <v>1</v>
      </c>
      <c r="S8" s="40">
        <v>0</v>
      </c>
      <c r="T8" s="40">
        <v>1</v>
      </c>
      <c r="U8" s="40">
        <v>1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2</v>
      </c>
      <c r="AG8" s="35">
        <f t="shared" si="0"/>
        <v>12</v>
      </c>
      <c r="AH8" s="35">
        <f t="shared" si="1"/>
        <v>720</v>
      </c>
      <c r="AI8" s="35"/>
      <c r="AJ8" s="35"/>
    </row>
    <row r="9" spans="1:36" ht="21" x14ac:dyDescent="0.5">
      <c r="A9" s="37" t="s">
        <v>128</v>
      </c>
      <c r="B9" s="39">
        <v>3148066167</v>
      </c>
      <c r="C9" s="40">
        <v>0</v>
      </c>
      <c r="D9" s="40">
        <v>5</v>
      </c>
      <c r="E9" s="40">
        <v>0</v>
      </c>
      <c r="F9" s="40">
        <v>0</v>
      </c>
      <c r="G9" s="40">
        <v>0</v>
      </c>
      <c r="H9" s="40">
        <v>7</v>
      </c>
      <c r="I9" s="40">
        <v>0</v>
      </c>
      <c r="J9" s="40">
        <v>0</v>
      </c>
      <c r="K9" s="40">
        <v>6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6</v>
      </c>
      <c r="R9" s="40">
        <v>0</v>
      </c>
      <c r="S9" s="40">
        <v>0</v>
      </c>
      <c r="T9" s="40">
        <v>0</v>
      </c>
      <c r="U9" s="40">
        <v>0</v>
      </c>
      <c r="V9" s="40">
        <v>6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12</v>
      </c>
      <c r="AG9" s="35">
        <f t="shared" si="0"/>
        <v>42</v>
      </c>
      <c r="AH9" s="35">
        <f t="shared" si="1"/>
        <v>2520</v>
      </c>
      <c r="AI9" s="35"/>
      <c r="AJ9" s="35"/>
    </row>
    <row r="10" spans="1:36" ht="21" x14ac:dyDescent="0.5">
      <c r="A10" s="37" t="s">
        <v>129</v>
      </c>
      <c r="B10" s="39">
        <v>3060278863</v>
      </c>
      <c r="C10" s="40">
        <v>4</v>
      </c>
      <c r="D10" s="40">
        <v>0</v>
      </c>
      <c r="E10" s="40">
        <v>2</v>
      </c>
      <c r="F10" s="40">
        <v>0</v>
      </c>
      <c r="G10" s="40">
        <v>2</v>
      </c>
      <c r="H10" s="40">
        <v>0</v>
      </c>
      <c r="I10" s="40">
        <v>2</v>
      </c>
      <c r="J10" s="40">
        <v>0</v>
      </c>
      <c r="K10" s="40">
        <v>2</v>
      </c>
      <c r="L10" s="40">
        <v>0</v>
      </c>
      <c r="M10" s="40">
        <v>2</v>
      </c>
      <c r="N10" s="40">
        <v>0</v>
      </c>
      <c r="O10" s="40">
        <v>2</v>
      </c>
      <c r="P10" s="40">
        <v>0</v>
      </c>
      <c r="Q10" s="40">
        <v>2</v>
      </c>
      <c r="R10" s="40">
        <v>0</v>
      </c>
      <c r="S10" s="40">
        <v>1</v>
      </c>
      <c r="T10" s="40">
        <v>0</v>
      </c>
      <c r="U10" s="40">
        <v>2</v>
      </c>
      <c r="V10" s="40">
        <v>0</v>
      </c>
      <c r="W10" s="40">
        <v>2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8</v>
      </c>
      <c r="AG10" s="35">
        <f t="shared" si="0"/>
        <v>31</v>
      </c>
      <c r="AH10" s="35">
        <f t="shared" si="1"/>
        <v>1860</v>
      </c>
      <c r="AI10" s="35"/>
      <c r="AJ10" s="35"/>
    </row>
    <row r="11" spans="1:36" ht="21" x14ac:dyDescent="0.5">
      <c r="A11" s="37" t="s">
        <v>131</v>
      </c>
      <c r="B11" s="39"/>
      <c r="C11" s="40">
        <v>5</v>
      </c>
      <c r="D11" s="40">
        <v>2</v>
      </c>
      <c r="E11" s="40">
        <v>2</v>
      </c>
      <c r="F11" s="40">
        <v>1</v>
      </c>
      <c r="G11" s="40">
        <v>3</v>
      </c>
      <c r="H11" s="40">
        <v>3</v>
      </c>
      <c r="I11" s="40">
        <v>0</v>
      </c>
      <c r="J11" s="40">
        <v>1</v>
      </c>
      <c r="K11" s="40">
        <v>4</v>
      </c>
      <c r="L11" s="40">
        <v>3</v>
      </c>
      <c r="M11" s="40">
        <v>1</v>
      </c>
      <c r="N11" s="40">
        <v>1</v>
      </c>
      <c r="O11" s="40">
        <v>5</v>
      </c>
      <c r="P11" s="40">
        <v>0</v>
      </c>
      <c r="Q11" s="40">
        <v>3</v>
      </c>
      <c r="R11" s="40">
        <v>1</v>
      </c>
      <c r="S11" s="40">
        <v>1</v>
      </c>
      <c r="T11" s="40">
        <v>3</v>
      </c>
      <c r="U11" s="40">
        <v>3</v>
      </c>
      <c r="V11" s="40">
        <v>2</v>
      </c>
      <c r="W11" s="40">
        <v>0</v>
      </c>
      <c r="X11" s="40">
        <v>3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14</v>
      </c>
      <c r="AG11" s="35">
        <f t="shared" si="0"/>
        <v>61</v>
      </c>
      <c r="AH11" s="35">
        <f t="shared" si="1"/>
        <v>3660</v>
      </c>
      <c r="AI11" s="35"/>
      <c r="AJ11" s="35"/>
    </row>
    <row r="12" spans="1:36" ht="21" x14ac:dyDescent="0.5">
      <c r="A12" s="37" t="s">
        <v>130</v>
      </c>
      <c r="B12" s="39">
        <v>3149251340</v>
      </c>
      <c r="C12" s="40">
        <v>1</v>
      </c>
      <c r="D12" s="40">
        <v>0</v>
      </c>
      <c r="E12" s="40">
        <v>1</v>
      </c>
      <c r="F12" s="40">
        <v>0</v>
      </c>
      <c r="G12" s="40">
        <v>1</v>
      </c>
      <c r="H12" s="40">
        <v>0</v>
      </c>
      <c r="I12" s="40">
        <v>1</v>
      </c>
      <c r="J12" s="40">
        <v>0</v>
      </c>
      <c r="K12" s="40">
        <v>1</v>
      </c>
      <c r="L12" s="40">
        <v>0</v>
      </c>
      <c r="M12" s="40">
        <v>1</v>
      </c>
      <c r="N12" s="40">
        <v>0</v>
      </c>
      <c r="O12" s="40">
        <v>1</v>
      </c>
      <c r="P12" s="40">
        <v>0</v>
      </c>
      <c r="Q12" s="40">
        <v>1</v>
      </c>
      <c r="R12" s="40">
        <v>0</v>
      </c>
      <c r="S12" s="40">
        <v>1</v>
      </c>
      <c r="T12" s="40">
        <v>0</v>
      </c>
      <c r="U12" s="40">
        <v>1</v>
      </c>
      <c r="V12" s="40">
        <v>0</v>
      </c>
      <c r="W12" s="40">
        <v>1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4</v>
      </c>
      <c r="AG12" s="35">
        <f t="shared" si="0"/>
        <v>15</v>
      </c>
      <c r="AH12" s="35">
        <f t="shared" si="1"/>
        <v>900</v>
      </c>
      <c r="AI12" s="35"/>
      <c r="AJ12" s="35"/>
    </row>
    <row r="13" spans="1:36" ht="21" x14ac:dyDescent="0.5">
      <c r="A13" s="37" t="s">
        <v>132</v>
      </c>
      <c r="B13" s="39">
        <v>3332229309</v>
      </c>
      <c r="C13" s="40">
        <v>1</v>
      </c>
      <c r="D13" s="40">
        <v>0</v>
      </c>
      <c r="E13" s="40">
        <v>1</v>
      </c>
      <c r="F13" s="40">
        <v>1</v>
      </c>
      <c r="G13" s="40">
        <v>1</v>
      </c>
      <c r="H13" s="40">
        <v>0</v>
      </c>
      <c r="I13" s="40">
        <v>0</v>
      </c>
      <c r="J13" s="40">
        <v>1</v>
      </c>
      <c r="K13" s="40">
        <v>0</v>
      </c>
      <c r="L13" s="40">
        <v>1</v>
      </c>
      <c r="M13" s="40">
        <v>0</v>
      </c>
      <c r="N13" s="40">
        <v>0</v>
      </c>
      <c r="O13" s="40">
        <v>0</v>
      </c>
      <c r="P13" s="40">
        <v>1</v>
      </c>
      <c r="Q13" s="40">
        <v>1</v>
      </c>
      <c r="R13" s="40">
        <v>0</v>
      </c>
      <c r="S13" s="40">
        <v>1</v>
      </c>
      <c r="T13" s="40">
        <v>0</v>
      </c>
      <c r="U13" s="40">
        <v>0</v>
      </c>
      <c r="V13" s="40">
        <v>1</v>
      </c>
      <c r="W13" s="40">
        <v>0</v>
      </c>
      <c r="X13" s="40">
        <v>1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4</v>
      </c>
      <c r="AG13" s="35">
        <f t="shared" si="0"/>
        <v>15</v>
      </c>
      <c r="AH13" s="35">
        <f t="shared" si="1"/>
        <v>900</v>
      </c>
      <c r="AI13" s="35"/>
      <c r="AJ13" s="35"/>
    </row>
    <row r="14" spans="1:36" ht="21" x14ac:dyDescent="0.5">
      <c r="A14" s="37" t="s">
        <v>133</v>
      </c>
      <c r="B14" s="39"/>
      <c r="C14" s="40">
        <v>0</v>
      </c>
      <c r="D14" s="40">
        <v>1</v>
      </c>
      <c r="E14" s="40">
        <v>0</v>
      </c>
      <c r="F14" s="40">
        <v>0</v>
      </c>
      <c r="G14" s="40">
        <v>1</v>
      </c>
      <c r="H14" s="40">
        <v>0</v>
      </c>
      <c r="I14" s="40">
        <v>1</v>
      </c>
      <c r="J14" s="40">
        <v>0</v>
      </c>
      <c r="K14" s="40">
        <v>1</v>
      </c>
      <c r="L14" s="40">
        <v>0</v>
      </c>
      <c r="M14" s="40">
        <v>0</v>
      </c>
      <c r="N14" s="40">
        <v>0</v>
      </c>
      <c r="O14" s="40">
        <v>1</v>
      </c>
      <c r="P14" s="40">
        <v>0</v>
      </c>
      <c r="Q14" s="40">
        <v>0</v>
      </c>
      <c r="R14" s="40">
        <v>1</v>
      </c>
      <c r="S14" s="40">
        <v>0</v>
      </c>
      <c r="T14" s="40">
        <v>0</v>
      </c>
      <c r="U14" s="40">
        <v>1</v>
      </c>
      <c r="V14" s="40">
        <v>0</v>
      </c>
      <c r="W14" s="40">
        <v>1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3</v>
      </c>
      <c r="AG14" s="35">
        <f t="shared" si="0"/>
        <v>11</v>
      </c>
      <c r="AH14" s="35">
        <f t="shared" si="1"/>
        <v>660</v>
      </c>
      <c r="AI14" s="35"/>
      <c r="AJ14" s="35"/>
    </row>
    <row r="15" spans="1:36" ht="21" x14ac:dyDescent="0.5">
      <c r="A15" s="37" t="s">
        <v>134</v>
      </c>
      <c r="B15" s="39">
        <v>3481802364</v>
      </c>
      <c r="C15" s="40">
        <v>1</v>
      </c>
      <c r="D15" s="40">
        <v>0</v>
      </c>
      <c r="E15" s="40">
        <v>0</v>
      </c>
      <c r="F15" s="40">
        <v>1</v>
      </c>
      <c r="G15" s="40">
        <v>0</v>
      </c>
      <c r="H15" s="40">
        <v>1</v>
      </c>
      <c r="I15" s="40">
        <v>1</v>
      </c>
      <c r="J15" s="40">
        <v>0</v>
      </c>
      <c r="K15" s="40">
        <v>1</v>
      </c>
      <c r="L15" s="40">
        <v>0</v>
      </c>
      <c r="M15" s="40">
        <v>1</v>
      </c>
      <c r="N15" s="40">
        <v>0</v>
      </c>
      <c r="O15" s="40">
        <v>1</v>
      </c>
      <c r="P15" s="40">
        <v>0</v>
      </c>
      <c r="Q15" s="40">
        <v>1</v>
      </c>
      <c r="R15" s="40">
        <v>0</v>
      </c>
      <c r="S15" s="40">
        <v>1</v>
      </c>
      <c r="T15" s="40">
        <v>1</v>
      </c>
      <c r="U15" s="40">
        <v>1</v>
      </c>
      <c r="V15" s="40">
        <v>1</v>
      </c>
      <c r="W15" s="40">
        <v>1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2</v>
      </c>
      <c r="AG15" s="35">
        <f t="shared" si="0"/>
        <v>15</v>
      </c>
      <c r="AH15" s="35">
        <f t="shared" si="1"/>
        <v>900</v>
      </c>
      <c r="AI15" s="35"/>
      <c r="AJ15" s="35"/>
    </row>
    <row r="16" spans="1:36" ht="21" x14ac:dyDescent="0.5">
      <c r="A16" s="37" t="s">
        <v>135</v>
      </c>
      <c r="B16" s="39"/>
      <c r="C16" s="40">
        <v>1</v>
      </c>
      <c r="D16" s="40">
        <v>1</v>
      </c>
      <c r="E16" s="40">
        <v>1</v>
      </c>
      <c r="F16" s="40">
        <v>1</v>
      </c>
      <c r="G16" s="40">
        <v>1</v>
      </c>
      <c r="H16" s="40">
        <v>1</v>
      </c>
      <c r="I16" s="40">
        <v>1</v>
      </c>
      <c r="J16" s="40">
        <v>1</v>
      </c>
      <c r="K16" s="40">
        <v>1</v>
      </c>
      <c r="L16" s="40">
        <v>1</v>
      </c>
      <c r="M16" s="40">
        <v>1</v>
      </c>
      <c r="N16" s="40">
        <v>0</v>
      </c>
      <c r="O16" s="40">
        <v>1</v>
      </c>
      <c r="P16" s="40">
        <v>0</v>
      </c>
      <c r="Q16" s="40">
        <v>1</v>
      </c>
      <c r="R16" s="40">
        <v>0</v>
      </c>
      <c r="S16" s="40">
        <v>1</v>
      </c>
      <c r="T16" s="40">
        <v>1</v>
      </c>
      <c r="U16" s="40">
        <v>0</v>
      </c>
      <c r="V16" s="40">
        <v>1</v>
      </c>
      <c r="W16" s="40">
        <v>0</v>
      </c>
      <c r="X16" s="40">
        <v>1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4</v>
      </c>
      <c r="AG16" s="35">
        <f t="shared" si="0"/>
        <v>21</v>
      </c>
      <c r="AH16" s="35">
        <f t="shared" si="1"/>
        <v>1260</v>
      </c>
      <c r="AI16" s="35"/>
      <c r="AJ16" s="35"/>
    </row>
    <row r="17" spans="1:36" ht="21" x14ac:dyDescent="0.5">
      <c r="A17" s="37" t="s">
        <v>207</v>
      </c>
      <c r="B17" s="39"/>
      <c r="C17" s="40">
        <v>1</v>
      </c>
      <c r="D17" s="40">
        <v>0</v>
      </c>
      <c r="E17" s="40">
        <v>1</v>
      </c>
      <c r="F17" s="40">
        <v>0</v>
      </c>
      <c r="G17" s="40">
        <v>1</v>
      </c>
      <c r="H17" s="40">
        <v>0</v>
      </c>
      <c r="I17" s="40">
        <v>1</v>
      </c>
      <c r="J17" s="40">
        <v>0</v>
      </c>
      <c r="K17" s="40">
        <v>1</v>
      </c>
      <c r="L17" s="40">
        <v>0</v>
      </c>
      <c r="M17" s="40">
        <v>1</v>
      </c>
      <c r="N17" s="40">
        <v>0</v>
      </c>
      <c r="O17" s="40">
        <v>1</v>
      </c>
      <c r="P17" s="40">
        <v>0</v>
      </c>
      <c r="Q17" s="40">
        <v>1</v>
      </c>
      <c r="R17" s="40">
        <v>0</v>
      </c>
      <c r="S17" s="40">
        <v>1</v>
      </c>
      <c r="T17" s="40">
        <v>0</v>
      </c>
      <c r="U17" s="40">
        <v>1</v>
      </c>
      <c r="V17" s="40">
        <v>0</v>
      </c>
      <c r="W17" s="40">
        <v>1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4</v>
      </c>
      <c r="AG17" s="35">
        <f t="shared" si="0"/>
        <v>15</v>
      </c>
      <c r="AH17" s="35">
        <f t="shared" si="1"/>
        <v>900</v>
      </c>
      <c r="AI17" s="35"/>
      <c r="AJ17" s="35"/>
    </row>
    <row r="18" spans="1:36" ht="21" x14ac:dyDescent="0.5">
      <c r="A18" s="37" t="s">
        <v>136</v>
      </c>
      <c r="B18" s="39"/>
      <c r="C18" s="40">
        <v>1</v>
      </c>
      <c r="D18" s="40">
        <v>1</v>
      </c>
      <c r="E18" s="40">
        <v>1</v>
      </c>
      <c r="F18" s="40">
        <v>1</v>
      </c>
      <c r="G18" s="40">
        <v>1</v>
      </c>
      <c r="H18" s="40">
        <v>1</v>
      </c>
      <c r="I18" s="40">
        <v>1</v>
      </c>
      <c r="J18" s="40">
        <v>1</v>
      </c>
      <c r="K18" s="40">
        <v>1</v>
      </c>
      <c r="L18" s="40">
        <v>1</v>
      </c>
      <c r="M18" s="40">
        <v>0</v>
      </c>
      <c r="N18" s="40">
        <v>1</v>
      </c>
      <c r="O18" s="40">
        <v>1</v>
      </c>
      <c r="P18" s="40">
        <v>1</v>
      </c>
      <c r="Q18" s="40">
        <v>1</v>
      </c>
      <c r="R18" s="40">
        <v>0</v>
      </c>
      <c r="S18" s="40">
        <v>1</v>
      </c>
      <c r="T18" s="40">
        <v>1</v>
      </c>
      <c r="U18" s="40">
        <v>1</v>
      </c>
      <c r="V18" s="40">
        <v>1</v>
      </c>
      <c r="W18" s="40">
        <v>1</v>
      </c>
      <c r="X18" s="40">
        <v>1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4</v>
      </c>
      <c r="AG18" s="35">
        <f t="shared" si="0"/>
        <v>24</v>
      </c>
      <c r="AH18" s="35">
        <f t="shared" si="1"/>
        <v>1440</v>
      </c>
      <c r="AI18" s="35"/>
      <c r="AJ18" s="35"/>
    </row>
    <row r="19" spans="1:36" ht="21" x14ac:dyDescent="0.5">
      <c r="A19" s="37" t="s">
        <v>138</v>
      </c>
      <c r="B19" s="39"/>
      <c r="C19" s="40">
        <v>2</v>
      </c>
      <c r="D19" s="40">
        <v>2</v>
      </c>
      <c r="E19" s="40">
        <v>1</v>
      </c>
      <c r="F19" s="40">
        <v>1</v>
      </c>
      <c r="G19" s="40">
        <v>1</v>
      </c>
      <c r="H19" s="40">
        <v>1</v>
      </c>
      <c r="I19" s="40">
        <v>1</v>
      </c>
      <c r="J19" s="40">
        <v>1</v>
      </c>
      <c r="K19" s="40">
        <v>1</v>
      </c>
      <c r="L19" s="40">
        <v>1</v>
      </c>
      <c r="M19" s="40">
        <v>1</v>
      </c>
      <c r="N19" s="40">
        <v>1</v>
      </c>
      <c r="O19" s="40">
        <v>0</v>
      </c>
      <c r="P19" s="40">
        <v>2</v>
      </c>
      <c r="Q19" s="40">
        <v>0</v>
      </c>
      <c r="R19" s="40">
        <v>1</v>
      </c>
      <c r="S19" s="40">
        <v>1</v>
      </c>
      <c r="T19" s="40">
        <v>1</v>
      </c>
      <c r="U19" s="40">
        <v>1</v>
      </c>
      <c r="V19" s="40">
        <v>8</v>
      </c>
      <c r="W19" s="40">
        <v>4</v>
      </c>
      <c r="X19" s="40">
        <v>1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9</v>
      </c>
      <c r="AG19" s="35">
        <f t="shared" si="0"/>
        <v>42</v>
      </c>
      <c r="AH19" s="35">
        <f t="shared" si="1"/>
        <v>2520</v>
      </c>
      <c r="AI19" s="35"/>
      <c r="AJ19" s="35"/>
    </row>
    <row r="20" spans="1:36" ht="21" x14ac:dyDescent="0.5">
      <c r="A20" s="37" t="s">
        <v>139</v>
      </c>
      <c r="B20" s="39"/>
      <c r="C20" s="40">
        <v>1</v>
      </c>
      <c r="D20" s="40">
        <v>0</v>
      </c>
      <c r="E20" s="40">
        <v>2</v>
      </c>
      <c r="F20" s="40">
        <v>1</v>
      </c>
      <c r="G20" s="40">
        <v>1</v>
      </c>
      <c r="H20" s="40">
        <v>1</v>
      </c>
      <c r="I20" s="40">
        <v>1</v>
      </c>
      <c r="J20" s="40">
        <v>1</v>
      </c>
      <c r="K20" s="40">
        <v>1</v>
      </c>
      <c r="L20" s="40">
        <v>1</v>
      </c>
      <c r="M20" s="40">
        <v>1</v>
      </c>
      <c r="N20" s="40">
        <v>1</v>
      </c>
      <c r="O20" s="40">
        <v>1</v>
      </c>
      <c r="P20" s="40">
        <v>1</v>
      </c>
      <c r="Q20" s="40">
        <v>1</v>
      </c>
      <c r="R20" s="40">
        <v>0</v>
      </c>
      <c r="S20" s="40">
        <v>1</v>
      </c>
      <c r="T20" s="40">
        <v>1</v>
      </c>
      <c r="U20" s="40">
        <v>2</v>
      </c>
      <c r="V20" s="40">
        <v>0</v>
      </c>
      <c r="W20" s="40">
        <v>1</v>
      </c>
      <c r="X20" s="40">
        <v>1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7</v>
      </c>
      <c r="AG20" s="35">
        <f t="shared" si="0"/>
        <v>28</v>
      </c>
      <c r="AH20" s="35">
        <f t="shared" si="1"/>
        <v>1680</v>
      </c>
      <c r="AI20" s="35"/>
      <c r="AJ20" s="35"/>
    </row>
    <row r="21" spans="1:36" ht="21" x14ac:dyDescent="0.5">
      <c r="A21" s="37" t="s">
        <v>140</v>
      </c>
      <c r="B21" s="39"/>
      <c r="C21" s="40">
        <v>2</v>
      </c>
      <c r="D21" s="40">
        <v>2</v>
      </c>
      <c r="E21" s="40">
        <v>2</v>
      </c>
      <c r="F21" s="40">
        <v>2</v>
      </c>
      <c r="G21" s="40">
        <v>2</v>
      </c>
      <c r="H21" s="40">
        <v>2</v>
      </c>
      <c r="I21" s="40">
        <v>2</v>
      </c>
      <c r="J21" s="40">
        <v>2</v>
      </c>
      <c r="K21" s="40">
        <v>2</v>
      </c>
      <c r="L21" s="40">
        <v>2</v>
      </c>
      <c r="M21" s="40">
        <v>2</v>
      </c>
      <c r="N21" s="40">
        <v>2</v>
      </c>
      <c r="O21" s="40">
        <v>2</v>
      </c>
      <c r="P21" s="40">
        <v>2</v>
      </c>
      <c r="Q21" s="40">
        <v>2</v>
      </c>
      <c r="R21" s="40">
        <v>4</v>
      </c>
      <c r="S21" s="40">
        <v>4</v>
      </c>
      <c r="T21" s="40">
        <v>1</v>
      </c>
      <c r="U21" s="40">
        <v>1</v>
      </c>
      <c r="V21" s="40">
        <v>1</v>
      </c>
      <c r="W21" s="40">
        <v>1</v>
      </c>
      <c r="X21" s="40">
        <v>1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8</v>
      </c>
      <c r="AG21" s="35">
        <f t="shared" si="0"/>
        <v>51</v>
      </c>
      <c r="AH21" s="35">
        <f t="shared" si="1"/>
        <v>3060</v>
      </c>
      <c r="AI21" s="35"/>
      <c r="AJ21" s="35"/>
    </row>
    <row r="22" spans="1:36" ht="21" x14ac:dyDescent="0.5">
      <c r="A22" s="37" t="s">
        <v>141</v>
      </c>
      <c r="B22" s="41" t="s">
        <v>59</v>
      </c>
      <c r="C22" s="40">
        <v>2</v>
      </c>
      <c r="D22" s="40">
        <v>2</v>
      </c>
      <c r="E22" s="40">
        <v>1</v>
      </c>
      <c r="F22" s="40">
        <v>2</v>
      </c>
      <c r="G22" s="40">
        <v>1</v>
      </c>
      <c r="H22" s="40">
        <v>1</v>
      </c>
      <c r="I22" s="40">
        <v>1</v>
      </c>
      <c r="J22" s="40">
        <v>2</v>
      </c>
      <c r="K22" s="40">
        <v>1</v>
      </c>
      <c r="L22" s="40">
        <v>1</v>
      </c>
      <c r="M22" s="40">
        <v>1</v>
      </c>
      <c r="N22" s="40">
        <v>1</v>
      </c>
      <c r="O22" s="40">
        <v>1</v>
      </c>
      <c r="P22" s="40">
        <v>2</v>
      </c>
      <c r="Q22" s="40">
        <v>1</v>
      </c>
      <c r="R22" s="40">
        <v>2</v>
      </c>
      <c r="S22" s="40">
        <v>1</v>
      </c>
      <c r="T22" s="40">
        <v>1</v>
      </c>
      <c r="U22" s="40">
        <v>1</v>
      </c>
      <c r="V22" s="40">
        <v>1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6</v>
      </c>
      <c r="AG22" s="35">
        <f t="shared" si="0"/>
        <v>32</v>
      </c>
      <c r="AH22" s="35">
        <f t="shared" si="1"/>
        <v>1920</v>
      </c>
      <c r="AI22" s="35"/>
      <c r="AJ22" s="35"/>
    </row>
    <row r="23" spans="1:36" ht="21" x14ac:dyDescent="0.5">
      <c r="A23" s="37" t="s">
        <v>142</v>
      </c>
      <c r="B23" s="39"/>
      <c r="C23" s="40">
        <v>1</v>
      </c>
      <c r="D23" s="40">
        <v>1</v>
      </c>
      <c r="E23" s="40">
        <v>1</v>
      </c>
      <c r="F23" s="40">
        <v>1</v>
      </c>
      <c r="G23" s="40">
        <v>0</v>
      </c>
      <c r="H23" s="40">
        <v>1</v>
      </c>
      <c r="I23" s="40">
        <v>1</v>
      </c>
      <c r="J23" s="40">
        <v>1</v>
      </c>
      <c r="K23" s="40">
        <v>1</v>
      </c>
      <c r="L23" s="40">
        <v>1</v>
      </c>
      <c r="M23" s="40">
        <v>0</v>
      </c>
      <c r="N23" s="40">
        <v>0</v>
      </c>
      <c r="O23" s="40">
        <v>1</v>
      </c>
      <c r="P23" s="40">
        <v>0</v>
      </c>
      <c r="Q23" s="40">
        <v>0</v>
      </c>
      <c r="R23" s="40">
        <v>1</v>
      </c>
      <c r="S23" s="40">
        <v>1</v>
      </c>
      <c r="T23" s="40">
        <v>0</v>
      </c>
      <c r="U23" s="40">
        <v>0</v>
      </c>
      <c r="V23" s="40">
        <v>1</v>
      </c>
      <c r="W23" s="40">
        <v>1</v>
      </c>
      <c r="X23" s="40">
        <v>1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3</v>
      </c>
      <c r="AG23" s="35">
        <f t="shared" si="0"/>
        <v>18</v>
      </c>
      <c r="AH23" s="35">
        <f t="shared" si="1"/>
        <v>1080</v>
      </c>
      <c r="AI23" s="35"/>
      <c r="AJ23" s="35"/>
    </row>
    <row r="24" spans="1:36" ht="21" x14ac:dyDescent="0.5">
      <c r="A24" s="37" t="s">
        <v>210</v>
      </c>
      <c r="B24" s="39"/>
      <c r="C24" s="40">
        <v>1</v>
      </c>
      <c r="D24" s="40">
        <v>1</v>
      </c>
      <c r="E24" s="40">
        <v>1</v>
      </c>
      <c r="F24" s="40">
        <v>0</v>
      </c>
      <c r="G24" s="40">
        <v>1</v>
      </c>
      <c r="H24" s="40">
        <v>0</v>
      </c>
      <c r="I24" s="40">
        <v>1</v>
      </c>
      <c r="J24" s="40">
        <v>0</v>
      </c>
      <c r="K24" s="40">
        <v>1</v>
      </c>
      <c r="L24" s="40">
        <v>0</v>
      </c>
      <c r="M24" s="40">
        <v>1</v>
      </c>
      <c r="N24" s="40">
        <v>0</v>
      </c>
      <c r="O24" s="40">
        <v>1</v>
      </c>
      <c r="P24" s="40">
        <v>0</v>
      </c>
      <c r="Q24" s="40">
        <v>0</v>
      </c>
      <c r="R24" s="40">
        <v>1</v>
      </c>
      <c r="S24" s="40">
        <v>0</v>
      </c>
      <c r="T24" s="40">
        <v>1</v>
      </c>
      <c r="U24" s="40">
        <v>0</v>
      </c>
      <c r="V24" s="40">
        <v>1</v>
      </c>
      <c r="W24" s="40">
        <v>0</v>
      </c>
      <c r="X24" s="40">
        <v>1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3</v>
      </c>
      <c r="AG24" s="35">
        <f t="shared" si="0"/>
        <v>15</v>
      </c>
      <c r="AH24" s="35">
        <f t="shared" si="1"/>
        <v>900</v>
      </c>
      <c r="AI24" s="35"/>
      <c r="AJ24" s="35"/>
    </row>
    <row r="25" spans="1:36" ht="21" x14ac:dyDescent="0.5">
      <c r="A25" s="37" t="s">
        <v>211</v>
      </c>
      <c r="B25" s="39"/>
      <c r="C25" s="40">
        <v>1</v>
      </c>
      <c r="D25" s="40">
        <v>1</v>
      </c>
      <c r="E25" s="40">
        <v>1</v>
      </c>
      <c r="F25" s="40">
        <v>1</v>
      </c>
      <c r="G25" s="40">
        <v>1</v>
      </c>
      <c r="H25" s="40">
        <v>1</v>
      </c>
      <c r="I25" s="40">
        <v>1</v>
      </c>
      <c r="J25" s="40">
        <v>1</v>
      </c>
      <c r="K25" s="40">
        <v>2</v>
      </c>
      <c r="L25" s="40">
        <v>1</v>
      </c>
      <c r="M25" s="40">
        <v>1</v>
      </c>
      <c r="N25" s="40">
        <v>1</v>
      </c>
      <c r="O25" s="40">
        <v>0</v>
      </c>
      <c r="P25" s="40">
        <v>1</v>
      </c>
      <c r="Q25" s="40">
        <v>1</v>
      </c>
      <c r="R25" s="40">
        <v>1</v>
      </c>
      <c r="S25" s="40">
        <v>1</v>
      </c>
      <c r="T25" s="40">
        <v>1</v>
      </c>
      <c r="U25" s="40">
        <v>1</v>
      </c>
      <c r="V25" s="40">
        <v>1</v>
      </c>
      <c r="W25" s="40">
        <v>1</v>
      </c>
      <c r="X25" s="40">
        <v>1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7</v>
      </c>
      <c r="AG25" s="35">
        <f t="shared" si="0"/>
        <v>29</v>
      </c>
      <c r="AH25" s="35">
        <f t="shared" si="1"/>
        <v>1740</v>
      </c>
      <c r="AI25" s="35"/>
      <c r="AJ25" s="35"/>
    </row>
    <row r="26" spans="1:36" ht="21" x14ac:dyDescent="0.5">
      <c r="A26" s="37" t="s">
        <v>212</v>
      </c>
      <c r="B26" s="39"/>
      <c r="C26" s="40">
        <v>2</v>
      </c>
      <c r="D26" s="40">
        <v>2</v>
      </c>
      <c r="E26" s="40">
        <v>1</v>
      </c>
      <c r="F26" s="40">
        <v>2</v>
      </c>
      <c r="G26" s="40">
        <v>2</v>
      </c>
      <c r="H26" s="40">
        <v>1</v>
      </c>
      <c r="I26" s="40">
        <v>2</v>
      </c>
      <c r="J26" s="40">
        <v>2</v>
      </c>
      <c r="K26" s="40">
        <v>2</v>
      </c>
      <c r="L26" s="40">
        <v>1</v>
      </c>
      <c r="M26" s="40">
        <v>2</v>
      </c>
      <c r="N26" s="40">
        <v>1</v>
      </c>
      <c r="O26" s="40">
        <v>2</v>
      </c>
      <c r="P26" s="40">
        <v>1</v>
      </c>
      <c r="Q26" s="40">
        <v>2</v>
      </c>
      <c r="R26" s="40">
        <v>2</v>
      </c>
      <c r="S26" s="40">
        <v>1</v>
      </c>
      <c r="T26" s="40">
        <v>2</v>
      </c>
      <c r="U26" s="40">
        <v>1</v>
      </c>
      <c r="V26" s="40">
        <v>2</v>
      </c>
      <c r="W26" s="40">
        <v>2</v>
      </c>
      <c r="X26" s="40">
        <v>1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13</v>
      </c>
      <c r="AG26" s="35">
        <f t="shared" si="0"/>
        <v>49</v>
      </c>
      <c r="AH26" s="35">
        <f t="shared" si="1"/>
        <v>2940</v>
      </c>
      <c r="AI26" s="35"/>
      <c r="AJ26" s="35"/>
    </row>
    <row r="27" spans="1:36" ht="21" x14ac:dyDescent="0.5">
      <c r="A27" s="37" t="s">
        <v>213</v>
      </c>
      <c r="B27" s="39"/>
      <c r="C27" s="40">
        <v>1</v>
      </c>
      <c r="D27" s="40">
        <v>0</v>
      </c>
      <c r="E27" s="40">
        <v>2</v>
      </c>
      <c r="F27" s="40">
        <v>0</v>
      </c>
      <c r="G27" s="40">
        <v>2</v>
      </c>
      <c r="H27" s="40">
        <v>0</v>
      </c>
      <c r="I27" s="40">
        <v>2</v>
      </c>
      <c r="J27" s="40">
        <v>0</v>
      </c>
      <c r="K27" s="40">
        <v>2</v>
      </c>
      <c r="L27" s="40">
        <v>0</v>
      </c>
      <c r="M27" s="40">
        <v>2</v>
      </c>
      <c r="N27" s="40">
        <v>0</v>
      </c>
      <c r="O27" s="40">
        <v>2</v>
      </c>
      <c r="P27" s="40">
        <v>0</v>
      </c>
      <c r="Q27" s="40">
        <v>1</v>
      </c>
      <c r="R27" s="40">
        <v>0</v>
      </c>
      <c r="S27" s="40">
        <v>2</v>
      </c>
      <c r="T27" s="40">
        <v>0</v>
      </c>
      <c r="U27" s="40">
        <v>1</v>
      </c>
      <c r="V27" s="40">
        <v>0</v>
      </c>
      <c r="W27" s="40">
        <v>1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8</v>
      </c>
      <c r="AG27" s="35">
        <f t="shared" si="0"/>
        <v>26</v>
      </c>
      <c r="AH27" s="35">
        <f t="shared" si="1"/>
        <v>1560</v>
      </c>
      <c r="AI27" s="35"/>
      <c r="AJ27" s="35"/>
    </row>
    <row r="28" spans="1:36" ht="21" x14ac:dyDescent="0.5">
      <c r="A28" s="37" t="s">
        <v>214</v>
      </c>
      <c r="B28" s="39"/>
      <c r="C28" s="40">
        <v>1</v>
      </c>
      <c r="D28" s="40">
        <v>1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1</v>
      </c>
      <c r="O28" s="40">
        <v>0</v>
      </c>
      <c r="P28" s="40">
        <v>1</v>
      </c>
      <c r="Q28" s="40">
        <v>1</v>
      </c>
      <c r="R28" s="40">
        <v>0</v>
      </c>
      <c r="S28" s="40">
        <v>1</v>
      </c>
      <c r="T28" s="40">
        <v>0</v>
      </c>
      <c r="U28" s="40">
        <v>1</v>
      </c>
      <c r="V28" s="40">
        <v>0</v>
      </c>
      <c r="W28" s="40">
        <v>1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4</v>
      </c>
      <c r="AG28" s="35">
        <f t="shared" si="0"/>
        <v>12</v>
      </c>
      <c r="AH28" s="35">
        <v>720</v>
      </c>
      <c r="AI28" s="35"/>
      <c r="AJ28" s="35"/>
    </row>
    <row r="29" spans="1:36" ht="21" x14ac:dyDescent="0.5">
      <c r="A29" s="37" t="s">
        <v>215</v>
      </c>
      <c r="B29" s="39"/>
      <c r="C29" s="40">
        <v>1</v>
      </c>
      <c r="D29" s="40">
        <v>0</v>
      </c>
      <c r="E29" s="40">
        <v>1</v>
      </c>
      <c r="F29" s="40">
        <v>1</v>
      </c>
      <c r="G29" s="40">
        <v>0</v>
      </c>
      <c r="H29" s="40">
        <v>1</v>
      </c>
      <c r="I29" s="40">
        <v>1</v>
      </c>
      <c r="J29" s="40">
        <v>1</v>
      </c>
      <c r="K29" s="40">
        <v>0</v>
      </c>
      <c r="L29" s="40">
        <v>0</v>
      </c>
      <c r="M29" s="40">
        <v>1</v>
      </c>
      <c r="N29" s="40">
        <v>0</v>
      </c>
      <c r="O29" s="40">
        <v>1</v>
      </c>
      <c r="P29" s="40">
        <v>1</v>
      </c>
      <c r="Q29" s="40">
        <v>0</v>
      </c>
      <c r="R29" s="40">
        <v>1</v>
      </c>
      <c r="S29" s="40">
        <v>0</v>
      </c>
      <c r="T29" s="40">
        <v>1</v>
      </c>
      <c r="U29" s="40">
        <v>0</v>
      </c>
      <c r="V29" s="40">
        <v>1</v>
      </c>
      <c r="W29" s="40">
        <v>1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5</v>
      </c>
      <c r="AG29" s="35">
        <f t="shared" si="0"/>
        <v>18</v>
      </c>
      <c r="AH29" s="35">
        <v>1080</v>
      </c>
      <c r="AI29" s="35"/>
      <c r="AJ29" s="35"/>
    </row>
    <row r="30" spans="1:36" ht="21" x14ac:dyDescent="0.5">
      <c r="A30" s="37" t="s">
        <v>216</v>
      </c>
      <c r="B30" s="39"/>
      <c r="C30" s="40">
        <v>1</v>
      </c>
      <c r="D30" s="40">
        <v>1</v>
      </c>
      <c r="E30" s="40">
        <v>1</v>
      </c>
      <c r="F30" s="40">
        <v>1</v>
      </c>
      <c r="G30" s="40">
        <v>1</v>
      </c>
      <c r="H30" s="40">
        <v>1</v>
      </c>
      <c r="I30" s="40">
        <v>1</v>
      </c>
      <c r="J30" s="40">
        <v>1</v>
      </c>
      <c r="K30" s="40">
        <v>1</v>
      </c>
      <c r="L30" s="40">
        <v>1</v>
      </c>
      <c r="M30" s="40">
        <v>1</v>
      </c>
      <c r="N30" s="40">
        <v>1</v>
      </c>
      <c r="O30" s="40">
        <v>1</v>
      </c>
      <c r="P30" s="40">
        <v>1</v>
      </c>
      <c r="Q30" s="40">
        <v>1</v>
      </c>
      <c r="R30" s="40">
        <v>1</v>
      </c>
      <c r="S30" s="40">
        <v>1</v>
      </c>
      <c r="T30" s="40">
        <v>1</v>
      </c>
      <c r="U30" s="40">
        <v>1</v>
      </c>
      <c r="V30" s="40">
        <v>1</v>
      </c>
      <c r="W30" s="40">
        <v>1</v>
      </c>
      <c r="X30" s="40">
        <v>1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6</v>
      </c>
      <c r="AG30" s="35">
        <f t="shared" si="0"/>
        <v>28</v>
      </c>
      <c r="AH30" s="35">
        <f t="shared" si="1"/>
        <v>1680</v>
      </c>
      <c r="AI30" s="35"/>
      <c r="AJ30" s="35"/>
    </row>
    <row r="31" spans="1:36" ht="21" x14ac:dyDescent="0.5">
      <c r="A31" s="37" t="s">
        <v>217</v>
      </c>
      <c r="B31" s="39"/>
      <c r="C31" s="40">
        <v>1</v>
      </c>
      <c r="D31" s="40">
        <v>1</v>
      </c>
      <c r="E31" s="40">
        <v>1</v>
      </c>
      <c r="F31" s="40">
        <v>1</v>
      </c>
      <c r="G31" s="40">
        <v>1</v>
      </c>
      <c r="H31" s="40">
        <v>1</v>
      </c>
      <c r="I31" s="40">
        <v>1</v>
      </c>
      <c r="J31" s="40">
        <v>1</v>
      </c>
      <c r="K31" s="40">
        <v>1</v>
      </c>
      <c r="L31" s="40">
        <v>1</v>
      </c>
      <c r="M31" s="40">
        <v>1</v>
      </c>
      <c r="N31" s="40">
        <v>1</v>
      </c>
      <c r="O31" s="40">
        <v>1</v>
      </c>
      <c r="P31" s="40">
        <v>1</v>
      </c>
      <c r="Q31" s="40">
        <v>1</v>
      </c>
      <c r="R31" s="40">
        <v>1</v>
      </c>
      <c r="S31" s="40">
        <v>2</v>
      </c>
      <c r="T31" s="40">
        <v>1</v>
      </c>
      <c r="U31" s="40">
        <v>2</v>
      </c>
      <c r="V31" s="40">
        <v>1</v>
      </c>
      <c r="W31" s="40">
        <v>1</v>
      </c>
      <c r="X31" s="40">
        <v>2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9</v>
      </c>
      <c r="AG31" s="35">
        <f t="shared" si="0"/>
        <v>34</v>
      </c>
      <c r="AH31" s="35">
        <f t="shared" si="1"/>
        <v>2040</v>
      </c>
      <c r="AI31" s="35"/>
      <c r="AJ31" s="35"/>
    </row>
    <row r="32" spans="1:36" ht="21" x14ac:dyDescent="0.5">
      <c r="A32" s="37" t="s">
        <v>218</v>
      </c>
      <c r="B32" s="39"/>
      <c r="C32" s="40">
        <v>2</v>
      </c>
      <c r="D32" s="40">
        <v>0</v>
      </c>
      <c r="E32" s="40">
        <v>0</v>
      </c>
      <c r="F32" s="40">
        <v>2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3</v>
      </c>
      <c r="M32" s="40">
        <v>0</v>
      </c>
      <c r="N32" s="40">
        <v>0</v>
      </c>
      <c r="O32" s="40">
        <v>4</v>
      </c>
      <c r="P32" s="40">
        <v>0</v>
      </c>
      <c r="Q32" s="40">
        <v>0</v>
      </c>
      <c r="R32" s="40">
        <v>0</v>
      </c>
      <c r="S32" s="40">
        <v>1</v>
      </c>
      <c r="T32" s="40">
        <v>0</v>
      </c>
      <c r="U32" s="40">
        <v>4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7</v>
      </c>
      <c r="AG32" s="35">
        <f t="shared" si="0"/>
        <v>23</v>
      </c>
      <c r="AH32" s="35">
        <f t="shared" si="1"/>
        <v>1380</v>
      </c>
      <c r="AI32" s="35"/>
      <c r="AJ32" s="35"/>
    </row>
    <row r="33" spans="1:36" ht="21" x14ac:dyDescent="0.5">
      <c r="A33" s="37" t="s">
        <v>219</v>
      </c>
      <c r="B33" s="39"/>
      <c r="C33" s="40">
        <v>0</v>
      </c>
      <c r="D33" s="40">
        <v>0</v>
      </c>
      <c r="E33" s="40">
        <v>1</v>
      </c>
      <c r="F33" s="40">
        <v>0</v>
      </c>
      <c r="G33" s="40">
        <v>0</v>
      </c>
      <c r="H33" s="40">
        <v>0</v>
      </c>
      <c r="I33" s="40">
        <v>1</v>
      </c>
      <c r="J33" s="40">
        <v>0</v>
      </c>
      <c r="K33" s="40">
        <v>1</v>
      </c>
      <c r="L33" s="40">
        <v>0</v>
      </c>
      <c r="M33" s="40">
        <v>0</v>
      </c>
      <c r="N33" s="40">
        <v>1</v>
      </c>
      <c r="O33" s="40">
        <v>0</v>
      </c>
      <c r="P33" s="40">
        <v>1</v>
      </c>
      <c r="Q33" s="40">
        <v>0</v>
      </c>
      <c r="R33" s="40">
        <v>0</v>
      </c>
      <c r="S33" s="40">
        <v>1</v>
      </c>
      <c r="T33" s="40">
        <v>0</v>
      </c>
      <c r="U33" s="40">
        <v>1</v>
      </c>
      <c r="V33" s="40">
        <v>0</v>
      </c>
      <c r="W33" s="40">
        <v>0</v>
      </c>
      <c r="X33" s="40">
        <v>1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3</v>
      </c>
      <c r="AG33" s="35">
        <f t="shared" si="0"/>
        <v>11</v>
      </c>
      <c r="AH33" s="35">
        <f t="shared" si="1"/>
        <v>660</v>
      </c>
      <c r="AI33" s="35"/>
      <c r="AJ33" s="35"/>
    </row>
    <row r="34" spans="1:36" ht="21" x14ac:dyDescent="0.5">
      <c r="A34" s="37" t="s">
        <v>220</v>
      </c>
      <c r="B34" s="39"/>
      <c r="C34" s="40">
        <v>1</v>
      </c>
      <c r="D34" s="40">
        <v>1</v>
      </c>
      <c r="E34" s="40">
        <v>1</v>
      </c>
      <c r="F34" s="40">
        <v>1</v>
      </c>
      <c r="G34" s="40">
        <v>0</v>
      </c>
      <c r="H34" s="40">
        <v>1</v>
      </c>
      <c r="I34" s="40">
        <v>1</v>
      </c>
      <c r="J34" s="40">
        <v>1</v>
      </c>
      <c r="K34" s="40">
        <v>1</v>
      </c>
      <c r="L34" s="40">
        <v>1</v>
      </c>
      <c r="M34" s="40">
        <v>1</v>
      </c>
      <c r="N34" s="40">
        <v>1</v>
      </c>
      <c r="O34" s="40">
        <v>1</v>
      </c>
      <c r="P34" s="40">
        <v>1</v>
      </c>
      <c r="Q34" s="40">
        <v>0</v>
      </c>
      <c r="R34" s="40">
        <v>1</v>
      </c>
      <c r="S34" s="40">
        <v>1</v>
      </c>
      <c r="T34" s="40">
        <v>0</v>
      </c>
      <c r="U34" s="40">
        <v>1</v>
      </c>
      <c r="V34" s="40">
        <v>1</v>
      </c>
      <c r="W34" s="40">
        <v>1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5</v>
      </c>
      <c r="AG34" s="35">
        <f t="shared" si="0"/>
        <v>23</v>
      </c>
      <c r="AH34" s="35">
        <f t="shared" si="1"/>
        <v>1380</v>
      </c>
      <c r="AI34" s="35"/>
      <c r="AJ34" s="35"/>
    </row>
    <row r="35" spans="1:36" ht="21" x14ac:dyDescent="0.5">
      <c r="A35" s="37" t="s">
        <v>221</v>
      </c>
      <c r="B35" s="39"/>
      <c r="C35" s="40">
        <v>1</v>
      </c>
      <c r="D35" s="40">
        <v>1</v>
      </c>
      <c r="E35" s="40">
        <v>1</v>
      </c>
      <c r="F35" s="40">
        <v>1</v>
      </c>
      <c r="G35" s="40">
        <v>1</v>
      </c>
      <c r="H35" s="40">
        <v>1</v>
      </c>
      <c r="I35" s="40">
        <v>1</v>
      </c>
      <c r="J35" s="40">
        <v>1</v>
      </c>
      <c r="K35" s="40">
        <v>1</v>
      </c>
      <c r="L35" s="40">
        <v>1</v>
      </c>
      <c r="M35" s="40">
        <v>1</v>
      </c>
      <c r="N35" s="40">
        <v>1</v>
      </c>
      <c r="O35" s="40">
        <v>1</v>
      </c>
      <c r="P35" s="40">
        <v>1</v>
      </c>
      <c r="Q35" s="40">
        <v>1</v>
      </c>
      <c r="R35" s="40">
        <v>1</v>
      </c>
      <c r="S35" s="40">
        <v>1</v>
      </c>
      <c r="T35" s="40">
        <v>1</v>
      </c>
      <c r="U35" s="40">
        <v>1</v>
      </c>
      <c r="V35" s="40">
        <v>1</v>
      </c>
      <c r="W35" s="40">
        <v>1</v>
      </c>
      <c r="X35" s="40">
        <v>1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8</v>
      </c>
      <c r="AG35" s="35">
        <f t="shared" si="0"/>
        <v>30</v>
      </c>
      <c r="AH35" s="35">
        <f t="shared" si="1"/>
        <v>1800</v>
      </c>
      <c r="AI35" s="35"/>
      <c r="AJ35" s="35"/>
    </row>
    <row r="36" spans="1:36" ht="21" x14ac:dyDescent="0.5">
      <c r="A36" s="37" t="s">
        <v>222</v>
      </c>
      <c r="B36" s="39"/>
      <c r="C36" s="40">
        <v>2</v>
      </c>
      <c r="D36" s="40">
        <v>2</v>
      </c>
      <c r="E36" s="40">
        <v>2</v>
      </c>
      <c r="F36" s="40">
        <v>0</v>
      </c>
      <c r="G36" s="40">
        <v>2</v>
      </c>
      <c r="H36" s="40">
        <v>0</v>
      </c>
      <c r="I36" s="40">
        <v>2</v>
      </c>
      <c r="J36" s="40">
        <v>0</v>
      </c>
      <c r="K36" s="40">
        <v>0</v>
      </c>
      <c r="L36" s="40">
        <v>0</v>
      </c>
      <c r="M36" s="40">
        <v>2</v>
      </c>
      <c r="N36" s="40">
        <v>0</v>
      </c>
      <c r="O36" s="40">
        <v>2</v>
      </c>
      <c r="P36" s="40">
        <v>0</v>
      </c>
      <c r="Q36" s="40">
        <v>2</v>
      </c>
      <c r="R36" s="40">
        <v>0</v>
      </c>
      <c r="S36" s="40">
        <v>1</v>
      </c>
      <c r="T36" s="40">
        <v>2</v>
      </c>
      <c r="U36" s="40">
        <v>0</v>
      </c>
      <c r="V36" s="40">
        <v>2</v>
      </c>
      <c r="W36" s="40">
        <v>0</v>
      </c>
      <c r="X36" s="40">
        <v>2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4</v>
      </c>
      <c r="AG36" s="35">
        <f t="shared" si="0"/>
        <v>27</v>
      </c>
      <c r="AH36" s="35">
        <f t="shared" si="1"/>
        <v>1620</v>
      </c>
      <c r="AI36" s="35"/>
      <c r="AJ36" s="35"/>
    </row>
    <row r="37" spans="1:36" ht="21" x14ac:dyDescent="0.5">
      <c r="A37" s="37" t="s">
        <v>223</v>
      </c>
      <c r="B37" s="39"/>
      <c r="C37" s="40">
        <v>2</v>
      </c>
      <c r="D37" s="40">
        <v>2</v>
      </c>
      <c r="E37" s="40">
        <v>3</v>
      </c>
      <c r="F37" s="40">
        <v>0</v>
      </c>
      <c r="G37" s="40">
        <v>2</v>
      </c>
      <c r="H37" s="40">
        <v>2</v>
      </c>
      <c r="I37" s="40">
        <v>2</v>
      </c>
      <c r="J37" s="40">
        <v>2</v>
      </c>
      <c r="K37" s="40">
        <v>2</v>
      </c>
      <c r="L37" s="40">
        <v>0</v>
      </c>
      <c r="M37" s="40">
        <v>2</v>
      </c>
      <c r="N37" s="40">
        <v>0</v>
      </c>
      <c r="O37" s="40">
        <v>2</v>
      </c>
      <c r="P37" s="40">
        <v>0</v>
      </c>
      <c r="Q37" s="40">
        <v>2</v>
      </c>
      <c r="R37" s="40">
        <v>2</v>
      </c>
      <c r="S37" s="40">
        <v>3</v>
      </c>
      <c r="T37" s="40">
        <v>0</v>
      </c>
      <c r="U37" s="40">
        <v>0</v>
      </c>
      <c r="V37" s="40">
        <v>0</v>
      </c>
      <c r="W37" s="40">
        <v>0</v>
      </c>
      <c r="X37" s="40">
        <v>2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8</v>
      </c>
      <c r="AG37" s="35">
        <f t="shared" si="0"/>
        <v>38</v>
      </c>
      <c r="AH37" s="35">
        <f t="shared" si="1"/>
        <v>2280</v>
      </c>
      <c r="AI37" s="35"/>
      <c r="AJ37" s="35">
        <v>880</v>
      </c>
    </row>
    <row r="38" spans="1:36" ht="21" x14ac:dyDescent="0.5">
      <c r="A38" s="37" t="s">
        <v>224</v>
      </c>
      <c r="B38" s="39"/>
      <c r="C38" s="40">
        <v>0</v>
      </c>
      <c r="D38" s="40">
        <v>0</v>
      </c>
      <c r="E38" s="40">
        <v>0</v>
      </c>
      <c r="F38" s="40">
        <v>8</v>
      </c>
      <c r="G38" s="40">
        <v>0</v>
      </c>
      <c r="H38" s="40">
        <v>0</v>
      </c>
      <c r="I38" s="40">
        <v>4</v>
      </c>
      <c r="J38" s="40">
        <v>0</v>
      </c>
      <c r="K38" s="40">
        <v>0</v>
      </c>
      <c r="L38" s="40">
        <v>0</v>
      </c>
      <c r="M38" s="40">
        <v>0</v>
      </c>
      <c r="N38" s="40">
        <v>4</v>
      </c>
      <c r="O38" s="40">
        <v>0</v>
      </c>
      <c r="P38" s="40">
        <v>0</v>
      </c>
      <c r="Q38" s="40">
        <v>0</v>
      </c>
      <c r="R38" s="40">
        <v>4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27</v>
      </c>
      <c r="AG38" s="35">
        <f t="shared" si="0"/>
        <v>47</v>
      </c>
      <c r="AH38" s="35">
        <f t="shared" si="1"/>
        <v>2820</v>
      </c>
      <c r="AI38" s="35"/>
      <c r="AJ38" s="35"/>
    </row>
    <row r="39" spans="1:36" ht="21" x14ac:dyDescent="0.5">
      <c r="A39" s="37" t="s">
        <v>225</v>
      </c>
      <c r="B39" s="39"/>
      <c r="C39" s="40">
        <v>1</v>
      </c>
      <c r="D39" s="40">
        <v>1</v>
      </c>
      <c r="E39" s="40">
        <v>1</v>
      </c>
      <c r="F39" s="40">
        <v>1</v>
      </c>
      <c r="G39" s="40">
        <v>1</v>
      </c>
      <c r="H39" s="40">
        <v>1</v>
      </c>
      <c r="I39" s="40">
        <v>1</v>
      </c>
      <c r="J39" s="40"/>
      <c r="K39" s="40">
        <v>1</v>
      </c>
      <c r="L39" s="40">
        <v>1</v>
      </c>
      <c r="M39" s="40">
        <v>1</v>
      </c>
      <c r="N39" s="40">
        <v>1</v>
      </c>
      <c r="O39" s="40">
        <v>1</v>
      </c>
      <c r="P39" s="40">
        <v>1</v>
      </c>
      <c r="Q39" s="40">
        <v>1</v>
      </c>
      <c r="R39" s="40">
        <v>1</v>
      </c>
      <c r="S39" s="40">
        <v>1</v>
      </c>
      <c r="T39" s="40">
        <v>1</v>
      </c>
      <c r="U39" s="40">
        <v>1</v>
      </c>
      <c r="V39" s="40">
        <v>1</v>
      </c>
      <c r="W39" s="40">
        <v>3</v>
      </c>
      <c r="X39" s="40">
        <v>3</v>
      </c>
      <c r="Y39" s="40"/>
      <c r="Z39" s="40"/>
      <c r="AA39" s="40"/>
      <c r="AB39" s="40"/>
      <c r="AC39" s="40"/>
      <c r="AD39" s="40"/>
      <c r="AE39" s="40"/>
      <c r="AF39" s="40"/>
      <c r="AG39" s="35">
        <v>37</v>
      </c>
      <c r="AH39" s="35">
        <v>2220</v>
      </c>
      <c r="AI39" s="35"/>
      <c r="AJ39" s="35"/>
    </row>
    <row r="40" spans="1:36" ht="21" x14ac:dyDescent="0.5">
      <c r="A40" s="37" t="s">
        <v>226</v>
      </c>
      <c r="B40" s="39"/>
      <c r="C40" s="40">
        <v>0</v>
      </c>
      <c r="D40" s="40">
        <v>0</v>
      </c>
      <c r="E40" s="40">
        <v>0</v>
      </c>
      <c r="F40" s="40">
        <v>1</v>
      </c>
      <c r="G40" s="40">
        <v>0</v>
      </c>
      <c r="H40" s="40">
        <v>1</v>
      </c>
      <c r="I40" s="40">
        <v>1</v>
      </c>
      <c r="J40" s="40">
        <v>0</v>
      </c>
      <c r="K40" s="40">
        <v>0</v>
      </c>
      <c r="L40" s="40">
        <v>1</v>
      </c>
      <c r="M40" s="40">
        <v>1</v>
      </c>
      <c r="N40" s="40">
        <v>1</v>
      </c>
      <c r="O40" s="40">
        <v>0</v>
      </c>
      <c r="P40" s="40">
        <v>1</v>
      </c>
      <c r="Q40" s="40">
        <v>0</v>
      </c>
      <c r="R40" s="40">
        <v>0</v>
      </c>
      <c r="S40" s="40">
        <v>1</v>
      </c>
      <c r="T40" s="40">
        <v>1</v>
      </c>
      <c r="U40" s="40">
        <v>0</v>
      </c>
      <c r="V40" s="40">
        <v>1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2</v>
      </c>
      <c r="AG40" s="35">
        <f>SUM(C40:AF40)</f>
        <v>12</v>
      </c>
      <c r="AH40" s="35">
        <f t="shared" si="1"/>
        <v>720</v>
      </c>
      <c r="AI40" s="35"/>
      <c r="AJ40" s="35"/>
    </row>
    <row r="41" spans="1:36" ht="21" x14ac:dyDescent="0.5">
      <c r="A41" s="42" t="s">
        <v>227</v>
      </c>
      <c r="B41" s="39"/>
      <c r="C41" s="40">
        <v>0</v>
      </c>
      <c r="D41" s="40">
        <v>0</v>
      </c>
      <c r="E41" s="40">
        <v>4</v>
      </c>
      <c r="F41" s="40">
        <v>0</v>
      </c>
      <c r="G41" s="40">
        <v>0</v>
      </c>
      <c r="H41" s="40">
        <v>0</v>
      </c>
      <c r="I41" s="40">
        <v>4</v>
      </c>
      <c r="J41" s="40">
        <v>0</v>
      </c>
      <c r="K41" s="40">
        <v>0</v>
      </c>
      <c r="L41" s="40">
        <v>0</v>
      </c>
      <c r="M41" s="40">
        <v>0</v>
      </c>
      <c r="N41" s="40">
        <v>4</v>
      </c>
      <c r="O41" s="40">
        <v>0</v>
      </c>
      <c r="P41" s="40">
        <v>0</v>
      </c>
      <c r="Q41" s="40">
        <v>0</v>
      </c>
      <c r="R41" s="40">
        <v>4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7</v>
      </c>
      <c r="AG41" s="35">
        <f>SUM(C41:AF41)</f>
        <v>23</v>
      </c>
      <c r="AH41" s="35">
        <f t="shared" si="1"/>
        <v>1380</v>
      </c>
      <c r="AI41" s="35"/>
      <c r="AJ41" s="35"/>
    </row>
    <row r="42" spans="1:36" ht="21" x14ac:dyDescent="0.5">
      <c r="A42" s="42" t="s">
        <v>228</v>
      </c>
      <c r="B42" s="39"/>
      <c r="C42" s="40">
        <v>0</v>
      </c>
      <c r="D42" s="40">
        <v>5</v>
      </c>
      <c r="E42" s="40">
        <v>0</v>
      </c>
      <c r="F42" s="40">
        <v>3</v>
      </c>
      <c r="G42" s="40">
        <v>0</v>
      </c>
      <c r="H42" s="40">
        <v>5</v>
      </c>
      <c r="I42" s="40">
        <v>0</v>
      </c>
      <c r="J42" s="40">
        <v>4</v>
      </c>
      <c r="K42" s="40">
        <v>0</v>
      </c>
      <c r="L42" s="40">
        <v>4</v>
      </c>
      <c r="M42" s="40">
        <v>0</v>
      </c>
      <c r="N42" s="40">
        <v>0</v>
      </c>
      <c r="O42" s="40">
        <v>4</v>
      </c>
      <c r="P42" s="40">
        <v>0</v>
      </c>
      <c r="Q42" s="40">
        <v>0</v>
      </c>
      <c r="R42" s="40">
        <v>5</v>
      </c>
      <c r="S42" s="40">
        <v>0</v>
      </c>
      <c r="T42" s="40">
        <v>0</v>
      </c>
      <c r="U42" s="40">
        <v>5</v>
      </c>
      <c r="V42" s="40">
        <v>0</v>
      </c>
      <c r="W42" s="40">
        <v>2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15</v>
      </c>
      <c r="AG42" s="47">
        <f>SUM(C42:AF42)</f>
        <v>52</v>
      </c>
      <c r="AH42" s="35">
        <f t="shared" si="1"/>
        <v>3120</v>
      </c>
      <c r="AI42" s="35"/>
      <c r="AJ42" s="35"/>
    </row>
    <row r="43" spans="1:36" ht="21" x14ac:dyDescent="0.5">
      <c r="A43" s="42" t="s">
        <v>229</v>
      </c>
      <c r="B43" s="39"/>
      <c r="C43" s="40">
        <v>0</v>
      </c>
      <c r="D43" s="40">
        <v>2</v>
      </c>
      <c r="E43" s="40">
        <v>0</v>
      </c>
      <c r="F43" s="40">
        <v>2</v>
      </c>
      <c r="G43" s="40">
        <v>0</v>
      </c>
      <c r="H43" s="40">
        <v>2</v>
      </c>
      <c r="I43" s="40">
        <v>0</v>
      </c>
      <c r="J43" s="40">
        <v>0</v>
      </c>
      <c r="K43" s="40">
        <v>2</v>
      </c>
      <c r="L43" s="40">
        <v>0</v>
      </c>
      <c r="M43" s="40">
        <v>2</v>
      </c>
      <c r="N43" s="40">
        <v>0</v>
      </c>
      <c r="O43" s="40">
        <v>0</v>
      </c>
      <c r="P43" s="40">
        <v>2</v>
      </c>
      <c r="Q43" s="40">
        <v>0</v>
      </c>
      <c r="R43" s="40">
        <v>0</v>
      </c>
      <c r="S43" s="40">
        <v>2</v>
      </c>
      <c r="T43" s="40">
        <v>0</v>
      </c>
      <c r="U43" s="40">
        <v>0</v>
      </c>
      <c r="V43" s="40">
        <v>2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2</v>
      </c>
      <c r="AG43" s="35">
        <v>2</v>
      </c>
      <c r="AH43" s="35">
        <v>120</v>
      </c>
      <c r="AI43" s="35"/>
      <c r="AJ43" s="35" t="s">
        <v>250</v>
      </c>
    </row>
    <row r="44" spans="1:36" ht="21" x14ac:dyDescent="0.5">
      <c r="A44" s="42" t="s">
        <v>230</v>
      </c>
      <c r="B44" s="39"/>
      <c r="C44" s="40">
        <v>0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4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4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35">
        <v>7</v>
      </c>
      <c r="AH44" s="35">
        <f t="shared" si="1"/>
        <v>420</v>
      </c>
      <c r="AI44" s="35"/>
      <c r="AJ44" s="35" t="s">
        <v>251</v>
      </c>
    </row>
    <row r="45" spans="1:36" ht="21" x14ac:dyDescent="0.5">
      <c r="A45" s="42" t="s">
        <v>232</v>
      </c>
      <c r="B45" s="39"/>
      <c r="C45" s="40">
        <v>1</v>
      </c>
      <c r="D45" s="40">
        <v>0</v>
      </c>
      <c r="E45" s="40">
        <v>1</v>
      </c>
      <c r="F45" s="40">
        <v>0</v>
      </c>
      <c r="G45" s="40">
        <v>1</v>
      </c>
      <c r="H45" s="40">
        <v>0</v>
      </c>
      <c r="I45" s="40">
        <v>1</v>
      </c>
      <c r="J45" s="40">
        <v>0</v>
      </c>
      <c r="K45" s="40">
        <v>0</v>
      </c>
      <c r="L45" s="40">
        <v>1</v>
      </c>
      <c r="M45" s="40">
        <v>0</v>
      </c>
      <c r="N45" s="40">
        <v>1</v>
      </c>
      <c r="O45" s="40">
        <v>0</v>
      </c>
      <c r="P45" s="40">
        <v>0</v>
      </c>
      <c r="Q45" s="40">
        <v>1</v>
      </c>
      <c r="R45" s="40">
        <v>0</v>
      </c>
      <c r="S45" s="40">
        <v>0</v>
      </c>
      <c r="T45" s="40">
        <v>1</v>
      </c>
      <c r="U45" s="40">
        <v>0</v>
      </c>
      <c r="V45" s="40">
        <v>0</v>
      </c>
      <c r="W45" s="40">
        <v>0</v>
      </c>
      <c r="X45" s="40">
        <v>1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/>
      <c r="AG45" s="35">
        <v>10</v>
      </c>
      <c r="AH45" s="35">
        <f t="shared" si="1"/>
        <v>600</v>
      </c>
      <c r="AI45" s="35"/>
      <c r="AJ45" s="35"/>
    </row>
    <row r="46" spans="1:36" ht="21" x14ac:dyDescent="0.5">
      <c r="A46" s="42" t="s">
        <v>233</v>
      </c>
      <c r="B46" s="39"/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4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2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/>
      <c r="AG46" s="35">
        <v>10</v>
      </c>
      <c r="AH46" s="35">
        <f t="shared" si="1"/>
        <v>600</v>
      </c>
      <c r="AI46" s="35"/>
      <c r="AJ46" s="35"/>
    </row>
    <row r="47" spans="1:36" ht="21" x14ac:dyDescent="0.5">
      <c r="A47" s="42" t="s">
        <v>234</v>
      </c>
      <c r="B47" s="39"/>
      <c r="C47" s="40">
        <v>1</v>
      </c>
      <c r="D47" s="40">
        <v>0</v>
      </c>
      <c r="E47" s="40">
        <v>1</v>
      </c>
      <c r="F47" s="40">
        <v>0</v>
      </c>
      <c r="G47" s="40">
        <v>1</v>
      </c>
      <c r="H47" s="40">
        <v>0</v>
      </c>
      <c r="I47" s="40">
        <v>1</v>
      </c>
      <c r="J47" s="40">
        <v>0</v>
      </c>
      <c r="K47" s="40">
        <v>0</v>
      </c>
      <c r="L47" s="40">
        <v>0</v>
      </c>
      <c r="M47" s="40">
        <v>1</v>
      </c>
      <c r="N47" s="40">
        <v>0</v>
      </c>
      <c r="O47" s="40">
        <v>0</v>
      </c>
      <c r="P47" s="40">
        <v>1</v>
      </c>
      <c r="Q47" s="40">
        <v>0</v>
      </c>
      <c r="R47" s="40">
        <v>0</v>
      </c>
      <c r="S47" s="40">
        <v>1</v>
      </c>
      <c r="T47" s="40">
        <v>0</v>
      </c>
      <c r="U47" s="40">
        <v>1</v>
      </c>
      <c r="V47" s="40">
        <v>0</v>
      </c>
      <c r="W47" s="40">
        <v>1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5</v>
      </c>
      <c r="AG47" s="35">
        <f>SUM(C47:AF47)</f>
        <v>14</v>
      </c>
      <c r="AH47" s="35">
        <f t="shared" si="1"/>
        <v>840</v>
      </c>
      <c r="AI47" s="35"/>
      <c r="AJ47" s="35"/>
    </row>
    <row r="48" spans="1:36" ht="21" x14ac:dyDescent="0.5">
      <c r="A48" s="42" t="s">
        <v>231</v>
      </c>
      <c r="B48" s="39"/>
      <c r="C48" s="40">
        <v>0</v>
      </c>
      <c r="D48" s="40">
        <v>0</v>
      </c>
      <c r="E48" s="40">
        <v>0</v>
      </c>
      <c r="F48" s="40">
        <v>1</v>
      </c>
      <c r="G48" s="40">
        <v>0</v>
      </c>
      <c r="H48" s="40">
        <v>1</v>
      </c>
      <c r="I48" s="40">
        <v>1</v>
      </c>
      <c r="J48" s="40">
        <v>1</v>
      </c>
      <c r="K48" s="40">
        <v>1</v>
      </c>
      <c r="L48" s="40">
        <v>0</v>
      </c>
      <c r="M48" s="40">
        <v>1</v>
      </c>
      <c r="N48" s="40">
        <v>0</v>
      </c>
      <c r="O48" s="40">
        <v>0</v>
      </c>
      <c r="P48" s="40">
        <v>1</v>
      </c>
      <c r="Q48" s="40">
        <v>1</v>
      </c>
      <c r="R48" s="40">
        <v>0</v>
      </c>
      <c r="S48" s="40">
        <v>0</v>
      </c>
      <c r="T48" s="40">
        <v>0</v>
      </c>
      <c r="U48" s="40">
        <v>1</v>
      </c>
      <c r="V48" s="40">
        <v>1</v>
      </c>
      <c r="W48" s="40">
        <v>1</v>
      </c>
      <c r="X48" s="40">
        <v>1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4</v>
      </c>
      <c r="AG48" s="35">
        <f>SUM(C48:AF48)</f>
        <v>16</v>
      </c>
      <c r="AH48" s="35">
        <f t="shared" si="1"/>
        <v>960</v>
      </c>
      <c r="AI48" s="35"/>
      <c r="AJ48" s="35"/>
    </row>
    <row r="49" spans="1:49" ht="21" x14ac:dyDescent="0.5">
      <c r="A49" s="42" t="s">
        <v>235</v>
      </c>
      <c r="B49" s="39"/>
      <c r="C49" s="40">
        <v>2</v>
      </c>
      <c r="D49" s="40">
        <v>1</v>
      </c>
      <c r="E49" s="40">
        <v>1</v>
      </c>
      <c r="F49" s="40">
        <v>1</v>
      </c>
      <c r="G49" s="40">
        <v>1</v>
      </c>
      <c r="H49" s="40">
        <v>1</v>
      </c>
      <c r="I49" s="40">
        <v>1</v>
      </c>
      <c r="J49" s="40">
        <v>1</v>
      </c>
      <c r="K49" s="40">
        <v>1</v>
      </c>
      <c r="L49" s="40">
        <v>1</v>
      </c>
      <c r="M49" s="40">
        <v>1</v>
      </c>
      <c r="N49" s="40">
        <v>1</v>
      </c>
      <c r="O49" s="40">
        <v>1</v>
      </c>
      <c r="P49" s="40">
        <v>1</v>
      </c>
      <c r="Q49" s="40">
        <v>1</v>
      </c>
      <c r="R49" s="40">
        <v>1</v>
      </c>
      <c r="S49" s="40">
        <v>1</v>
      </c>
      <c r="T49" s="40">
        <v>1</v>
      </c>
      <c r="U49" s="40">
        <v>1</v>
      </c>
      <c r="V49" s="40">
        <v>0</v>
      </c>
      <c r="W49" s="40">
        <v>1</v>
      </c>
      <c r="X49" s="40">
        <v>1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9</v>
      </c>
      <c r="AG49" s="35">
        <f>SUM(C49:AF49)</f>
        <v>31</v>
      </c>
      <c r="AH49" s="35">
        <f t="shared" si="1"/>
        <v>1860</v>
      </c>
      <c r="AI49" s="35"/>
      <c r="AJ49" s="35"/>
    </row>
    <row r="50" spans="1:49" ht="21" x14ac:dyDescent="0.5">
      <c r="A50" s="42" t="s">
        <v>236</v>
      </c>
      <c r="B50" s="39"/>
      <c r="C50" s="40">
        <v>0</v>
      </c>
      <c r="D50" s="40">
        <v>1</v>
      </c>
      <c r="E50" s="40">
        <v>2</v>
      </c>
      <c r="F50" s="40">
        <v>1</v>
      </c>
      <c r="G50" s="40">
        <v>1</v>
      </c>
      <c r="H50" s="40">
        <v>2</v>
      </c>
      <c r="I50" s="40">
        <v>1</v>
      </c>
      <c r="J50" s="40">
        <v>1</v>
      </c>
      <c r="K50" s="40">
        <v>1</v>
      </c>
      <c r="L50" s="40">
        <v>1</v>
      </c>
      <c r="M50" s="40">
        <v>2</v>
      </c>
      <c r="N50" s="40">
        <v>1</v>
      </c>
      <c r="O50" s="40">
        <v>1</v>
      </c>
      <c r="P50" s="40">
        <v>1</v>
      </c>
      <c r="Q50" s="40">
        <v>2</v>
      </c>
      <c r="R50" s="40">
        <v>1</v>
      </c>
      <c r="S50" s="40">
        <v>1</v>
      </c>
      <c r="T50" s="40">
        <v>1</v>
      </c>
      <c r="U50" s="40">
        <v>1</v>
      </c>
      <c r="V50" s="40">
        <v>2</v>
      </c>
      <c r="W50" s="40">
        <v>1</v>
      </c>
      <c r="X50" s="40">
        <v>1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10</v>
      </c>
      <c r="AG50" s="35">
        <f>SUM(C50:AF50)</f>
        <v>36</v>
      </c>
      <c r="AH50" s="35">
        <f t="shared" si="1"/>
        <v>2160</v>
      </c>
      <c r="AI50" s="35"/>
      <c r="AJ50" s="35"/>
    </row>
    <row r="51" spans="1:49" ht="21" x14ac:dyDescent="0.5">
      <c r="A51" s="16" t="s">
        <v>237</v>
      </c>
      <c r="B51" s="39"/>
      <c r="C51" s="40">
        <v>1</v>
      </c>
      <c r="D51" s="40">
        <v>0</v>
      </c>
      <c r="E51" s="40">
        <v>1</v>
      </c>
      <c r="F51" s="40">
        <v>0</v>
      </c>
      <c r="G51" s="40">
        <v>1</v>
      </c>
      <c r="H51" s="40">
        <v>0</v>
      </c>
      <c r="I51" s="40">
        <v>1</v>
      </c>
      <c r="J51" s="40">
        <v>1</v>
      </c>
      <c r="K51" s="40">
        <v>1</v>
      </c>
      <c r="L51" s="40">
        <v>1</v>
      </c>
      <c r="M51" s="40">
        <v>1</v>
      </c>
      <c r="N51" s="40">
        <v>0</v>
      </c>
      <c r="O51" s="40">
        <v>1</v>
      </c>
      <c r="P51" s="40">
        <v>1</v>
      </c>
      <c r="Q51" s="40">
        <v>1</v>
      </c>
      <c r="R51" s="40">
        <v>1</v>
      </c>
      <c r="S51" s="40">
        <v>1</v>
      </c>
      <c r="T51" s="40">
        <v>1</v>
      </c>
      <c r="U51" s="40">
        <v>0</v>
      </c>
      <c r="V51" s="40">
        <v>1</v>
      </c>
      <c r="W51" s="40">
        <v>0</v>
      </c>
      <c r="X51" s="40">
        <v>1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/>
      <c r="AG51" s="40">
        <v>21</v>
      </c>
      <c r="AH51" s="40">
        <v>1050</v>
      </c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</row>
    <row r="52" spans="1:49" ht="21" x14ac:dyDescent="0.5">
      <c r="A52" s="16" t="s">
        <v>238</v>
      </c>
      <c r="B52" s="39"/>
      <c r="C52" s="40">
        <v>2</v>
      </c>
      <c r="D52" s="40">
        <v>0</v>
      </c>
      <c r="E52" s="40">
        <v>0</v>
      </c>
      <c r="F52" s="40">
        <v>0</v>
      </c>
      <c r="G52" s="40">
        <v>0</v>
      </c>
      <c r="H52" s="40">
        <v>2</v>
      </c>
      <c r="I52" s="40">
        <v>0</v>
      </c>
      <c r="J52" s="40">
        <v>0</v>
      </c>
      <c r="K52" s="40">
        <v>0</v>
      </c>
      <c r="L52" s="40">
        <v>0</v>
      </c>
      <c r="M52" s="40">
        <v>2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6</v>
      </c>
      <c r="AH52" s="40">
        <v>360</v>
      </c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</row>
    <row r="53" spans="1:49" ht="21" x14ac:dyDescent="0.5">
      <c r="A53" s="16" t="s">
        <v>239</v>
      </c>
      <c r="B53" s="39"/>
      <c r="C53" s="40">
        <v>2</v>
      </c>
      <c r="D53" s="40">
        <v>1</v>
      </c>
      <c r="E53" s="40">
        <v>3</v>
      </c>
      <c r="F53" s="40">
        <v>1</v>
      </c>
      <c r="G53" s="40">
        <v>3</v>
      </c>
      <c r="H53" s="40">
        <v>2</v>
      </c>
      <c r="I53" s="40">
        <v>1</v>
      </c>
      <c r="J53" s="40">
        <v>1</v>
      </c>
      <c r="K53" s="40">
        <v>3</v>
      </c>
      <c r="L53" s="40">
        <v>1</v>
      </c>
      <c r="M53" s="40">
        <v>1</v>
      </c>
      <c r="N53" s="40">
        <v>2</v>
      </c>
      <c r="O53" s="40">
        <v>0</v>
      </c>
      <c r="P53" s="40">
        <v>3</v>
      </c>
      <c r="Q53" s="40">
        <v>2</v>
      </c>
      <c r="R53" s="40">
        <v>0</v>
      </c>
      <c r="S53" s="40">
        <v>2</v>
      </c>
      <c r="T53" s="40">
        <v>3</v>
      </c>
      <c r="U53" s="40">
        <v>1</v>
      </c>
      <c r="V53" s="40">
        <v>1</v>
      </c>
      <c r="W53" s="40">
        <v>2</v>
      </c>
      <c r="X53" s="40">
        <v>1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47</v>
      </c>
      <c r="AG53" s="40">
        <v>47</v>
      </c>
      <c r="AH53" s="40">
        <v>2820</v>
      </c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</row>
    <row r="54" spans="1:49" ht="23.5" x14ac:dyDescent="0.55000000000000004">
      <c r="A54" s="45" t="s">
        <v>249</v>
      </c>
      <c r="C54" s="46">
        <v>0</v>
      </c>
      <c r="D54" s="44">
        <v>0</v>
      </c>
      <c r="E54" s="44">
        <v>2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2</v>
      </c>
      <c r="R54" s="44">
        <v>0</v>
      </c>
      <c r="S54" s="44">
        <v>0</v>
      </c>
      <c r="T54" s="44">
        <v>0</v>
      </c>
      <c r="U54" s="44">
        <v>2</v>
      </c>
      <c r="V54" s="44">
        <v>0</v>
      </c>
      <c r="W54" s="44">
        <v>0</v>
      </c>
      <c r="X54" s="44">
        <v>2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2</v>
      </c>
      <c r="AH54" s="44">
        <v>120</v>
      </c>
    </row>
    <row r="55" spans="1:49" x14ac:dyDescent="0.35">
      <c r="A55" s="15" t="s">
        <v>253</v>
      </c>
      <c r="P55" s="15" t="s">
        <v>252</v>
      </c>
    </row>
    <row r="56" spans="1:49" x14ac:dyDescent="0.35">
      <c r="A56" s="15" t="s">
        <v>254</v>
      </c>
    </row>
    <row r="57" spans="1:49" x14ac:dyDescent="0.35">
      <c r="A57" s="15" t="s">
        <v>255</v>
      </c>
    </row>
    <row r="58" spans="1:49" x14ac:dyDescent="0.35">
      <c r="A58" s="15" t="s">
        <v>256</v>
      </c>
      <c r="AF58" s="15">
        <v>3</v>
      </c>
      <c r="AG58" s="15">
        <v>3</v>
      </c>
      <c r="AH58" s="15">
        <v>180</v>
      </c>
    </row>
  </sheetData>
  <mergeCells count="1">
    <mergeCell ref="A1:AG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54"/>
  <sheetViews>
    <sheetView zoomScale="70" zoomScaleNormal="7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C55" sqref="C55"/>
    </sheetView>
  </sheetViews>
  <sheetFormatPr defaultRowHeight="14.5" x14ac:dyDescent="0.35"/>
  <cols>
    <col min="1" max="1" width="42.6328125" style="15" bestFit="1" customWidth="1"/>
    <col min="2" max="2" width="17.36328125" style="15" customWidth="1"/>
    <col min="3" max="3" width="9.08984375" style="34"/>
    <col min="4" max="33" width="9.08984375" style="15"/>
    <col min="34" max="34" width="10" style="15" bestFit="1" customWidth="1"/>
    <col min="35" max="35" width="8.453125" style="15" customWidth="1"/>
  </cols>
  <sheetData>
    <row r="1" spans="1:35" ht="21" x14ac:dyDescent="0.5">
      <c r="A1" s="63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35"/>
    </row>
    <row r="2" spans="1:35" ht="21" x14ac:dyDescent="0.5">
      <c r="A2" s="36" t="s">
        <v>0</v>
      </c>
      <c r="B2" s="37" t="s">
        <v>2</v>
      </c>
      <c r="C2" s="38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  <c r="R2" s="37">
        <v>16</v>
      </c>
      <c r="S2" s="37">
        <v>17</v>
      </c>
      <c r="T2" s="37">
        <v>18</v>
      </c>
      <c r="U2" s="37">
        <v>19</v>
      </c>
      <c r="V2" s="37">
        <v>20</v>
      </c>
      <c r="W2" s="37">
        <v>21</v>
      </c>
      <c r="X2" s="37">
        <v>22</v>
      </c>
      <c r="Y2" s="37">
        <v>23</v>
      </c>
      <c r="Z2" s="37">
        <v>24</v>
      </c>
      <c r="AA2" s="37">
        <v>25</v>
      </c>
      <c r="AB2" s="37">
        <v>26</v>
      </c>
      <c r="AC2" s="37">
        <v>27</v>
      </c>
      <c r="AD2" s="37">
        <v>28</v>
      </c>
      <c r="AE2" s="37">
        <v>29</v>
      </c>
      <c r="AF2" s="37">
        <v>30</v>
      </c>
      <c r="AG2" s="37">
        <v>31</v>
      </c>
      <c r="AH2" s="37" t="s">
        <v>208</v>
      </c>
      <c r="AI2" s="35" t="s">
        <v>5</v>
      </c>
    </row>
    <row r="3" spans="1:35" ht="21" x14ac:dyDescent="0.5">
      <c r="A3" s="37" t="s">
        <v>125</v>
      </c>
      <c r="B3" s="39"/>
      <c r="C3" s="40">
        <v>1</v>
      </c>
      <c r="D3" s="40">
        <v>1</v>
      </c>
      <c r="E3" s="40">
        <v>1</v>
      </c>
      <c r="F3" s="40">
        <v>1</v>
      </c>
      <c r="G3" s="35">
        <v>1</v>
      </c>
      <c r="H3" s="35">
        <v>1</v>
      </c>
      <c r="I3" s="35">
        <v>1</v>
      </c>
      <c r="J3" s="35">
        <v>1</v>
      </c>
      <c r="K3" s="35">
        <v>1</v>
      </c>
      <c r="L3" s="35">
        <v>1</v>
      </c>
      <c r="M3" s="35">
        <v>1</v>
      </c>
      <c r="N3" s="35">
        <v>1</v>
      </c>
      <c r="O3" s="35">
        <v>1</v>
      </c>
      <c r="P3" s="35">
        <v>1</v>
      </c>
      <c r="Q3" s="35">
        <v>1</v>
      </c>
      <c r="R3" s="35">
        <v>1</v>
      </c>
      <c r="S3" s="35">
        <v>1</v>
      </c>
      <c r="T3" s="35">
        <v>1</v>
      </c>
      <c r="U3" s="35">
        <v>1</v>
      </c>
      <c r="V3" s="35">
        <v>1</v>
      </c>
      <c r="W3" s="35">
        <v>1</v>
      </c>
      <c r="X3" s="35">
        <v>1</v>
      </c>
      <c r="Y3" s="35">
        <v>1</v>
      </c>
      <c r="Z3" s="35">
        <v>1</v>
      </c>
      <c r="AA3" s="35">
        <v>1</v>
      </c>
      <c r="AB3" s="35">
        <v>1</v>
      </c>
      <c r="AC3" s="35">
        <v>1</v>
      </c>
      <c r="AD3" s="35">
        <v>1</v>
      </c>
      <c r="AE3" s="35">
        <v>1</v>
      </c>
      <c r="AF3" s="35">
        <v>1</v>
      </c>
      <c r="AG3" s="35">
        <v>1</v>
      </c>
      <c r="AH3" s="35">
        <f>SUM(C3:AG3)</f>
        <v>31</v>
      </c>
      <c r="AI3" s="35">
        <f>60*AH3</f>
        <v>1860</v>
      </c>
    </row>
    <row r="4" spans="1:35" ht="21" x14ac:dyDescent="0.5">
      <c r="A4" s="37" t="s">
        <v>206</v>
      </c>
      <c r="B4" s="39">
        <v>3364024030</v>
      </c>
      <c r="C4" s="40">
        <v>1</v>
      </c>
      <c r="D4" s="40">
        <v>1</v>
      </c>
      <c r="E4" s="40">
        <v>0</v>
      </c>
      <c r="F4" s="40">
        <v>0</v>
      </c>
      <c r="G4" s="35">
        <v>1</v>
      </c>
      <c r="H4" s="35">
        <v>0</v>
      </c>
      <c r="I4" s="35">
        <v>1</v>
      </c>
      <c r="J4" s="35">
        <v>0</v>
      </c>
      <c r="K4" s="35">
        <v>1</v>
      </c>
      <c r="L4" s="35">
        <v>0</v>
      </c>
      <c r="M4" s="35">
        <v>1</v>
      </c>
      <c r="N4" s="35">
        <v>0</v>
      </c>
      <c r="O4" s="35">
        <v>1</v>
      </c>
      <c r="P4" s="35">
        <v>1</v>
      </c>
      <c r="Q4" s="35">
        <v>1</v>
      </c>
      <c r="R4" s="35">
        <v>0</v>
      </c>
      <c r="S4" s="35">
        <v>1</v>
      </c>
      <c r="T4" s="35">
        <v>0</v>
      </c>
      <c r="U4" s="35">
        <v>1</v>
      </c>
      <c r="V4" s="35">
        <v>0</v>
      </c>
      <c r="W4" s="35">
        <v>0</v>
      </c>
      <c r="X4" s="35">
        <v>1</v>
      </c>
      <c r="Y4" s="35">
        <v>0</v>
      </c>
      <c r="Z4" s="35">
        <v>1</v>
      </c>
      <c r="AA4" s="35">
        <v>0</v>
      </c>
      <c r="AB4" s="35">
        <v>0</v>
      </c>
      <c r="AC4" s="35">
        <v>1</v>
      </c>
      <c r="AD4" s="35">
        <v>0</v>
      </c>
      <c r="AE4" s="35">
        <v>0</v>
      </c>
      <c r="AF4" s="35">
        <v>0</v>
      </c>
      <c r="AG4" s="35">
        <v>0</v>
      </c>
      <c r="AH4" s="35">
        <f t="shared" ref="AH4:AH51" si="0">SUM(C4:AG4)</f>
        <v>14</v>
      </c>
      <c r="AI4" s="35">
        <f t="shared" ref="AI4:AI51" si="1">60*AH4</f>
        <v>840</v>
      </c>
    </row>
    <row r="5" spans="1:35" ht="21" x14ac:dyDescent="0.5">
      <c r="A5" s="37" t="s">
        <v>126</v>
      </c>
      <c r="B5" s="39"/>
      <c r="C5" s="40">
        <v>1</v>
      </c>
      <c r="D5" s="40">
        <v>2</v>
      </c>
      <c r="E5" s="40">
        <v>1</v>
      </c>
      <c r="F5" s="40">
        <v>2</v>
      </c>
      <c r="G5" s="35">
        <v>1</v>
      </c>
      <c r="H5" s="35">
        <v>2</v>
      </c>
      <c r="I5" s="35">
        <v>1</v>
      </c>
      <c r="J5" s="35">
        <v>2</v>
      </c>
      <c r="K5" s="35">
        <v>2</v>
      </c>
      <c r="L5" s="35">
        <v>2</v>
      </c>
      <c r="M5" s="35">
        <v>1</v>
      </c>
      <c r="N5" s="35">
        <v>2</v>
      </c>
      <c r="O5" s="35">
        <v>2</v>
      </c>
      <c r="P5" s="35">
        <v>1</v>
      </c>
      <c r="Q5" s="35">
        <v>2</v>
      </c>
      <c r="R5" s="35">
        <v>2</v>
      </c>
      <c r="S5" s="35">
        <v>2</v>
      </c>
      <c r="T5" s="35">
        <v>1</v>
      </c>
      <c r="U5" s="35">
        <v>2</v>
      </c>
      <c r="V5" s="35">
        <v>3</v>
      </c>
      <c r="W5" s="35">
        <v>2</v>
      </c>
      <c r="X5" s="35">
        <v>2</v>
      </c>
      <c r="Y5" s="35">
        <v>2</v>
      </c>
      <c r="Z5" s="35">
        <v>2</v>
      </c>
      <c r="AA5" s="35">
        <v>1</v>
      </c>
      <c r="AB5" s="35">
        <v>2</v>
      </c>
      <c r="AC5" s="35">
        <v>2</v>
      </c>
      <c r="AD5" s="35">
        <v>1</v>
      </c>
      <c r="AE5" s="35">
        <v>2</v>
      </c>
      <c r="AF5" s="35">
        <v>2</v>
      </c>
      <c r="AG5" s="35">
        <v>2</v>
      </c>
      <c r="AH5" s="35">
        <f t="shared" si="0"/>
        <v>54</v>
      </c>
      <c r="AI5" s="35">
        <f t="shared" si="1"/>
        <v>3240</v>
      </c>
    </row>
    <row r="6" spans="1:35" ht="21" x14ac:dyDescent="0.5">
      <c r="A6" s="37" t="s">
        <v>137</v>
      </c>
      <c r="B6" s="39">
        <v>3343501855</v>
      </c>
      <c r="C6" s="40">
        <v>1</v>
      </c>
      <c r="D6" s="40">
        <v>1</v>
      </c>
      <c r="E6" s="40">
        <v>1</v>
      </c>
      <c r="F6" s="40">
        <v>1</v>
      </c>
      <c r="G6" s="35">
        <v>1</v>
      </c>
      <c r="H6" s="35">
        <v>1</v>
      </c>
      <c r="I6" s="35">
        <v>1</v>
      </c>
      <c r="J6" s="35">
        <v>1</v>
      </c>
      <c r="K6" s="35">
        <v>1</v>
      </c>
      <c r="L6" s="35">
        <v>1</v>
      </c>
      <c r="M6" s="35">
        <v>1</v>
      </c>
      <c r="N6" s="35">
        <v>1</v>
      </c>
      <c r="O6" s="35">
        <v>1</v>
      </c>
      <c r="P6" s="35">
        <v>1</v>
      </c>
      <c r="Q6" s="35">
        <v>0</v>
      </c>
      <c r="R6" s="35">
        <v>1</v>
      </c>
      <c r="S6" s="35">
        <v>1</v>
      </c>
      <c r="T6" s="35">
        <v>1</v>
      </c>
      <c r="U6" s="35">
        <v>1</v>
      </c>
      <c r="V6" s="35">
        <v>1</v>
      </c>
      <c r="W6" s="35">
        <v>0</v>
      </c>
      <c r="X6" s="35">
        <v>1</v>
      </c>
      <c r="Y6" s="35">
        <v>0</v>
      </c>
      <c r="Z6" s="35">
        <v>1</v>
      </c>
      <c r="AA6" s="35">
        <v>0</v>
      </c>
      <c r="AB6" s="35">
        <v>1</v>
      </c>
      <c r="AC6" s="35">
        <v>0</v>
      </c>
      <c r="AD6" s="35">
        <v>1</v>
      </c>
      <c r="AE6" s="35">
        <v>1</v>
      </c>
      <c r="AF6" s="35">
        <v>0</v>
      </c>
      <c r="AG6" s="35">
        <v>1</v>
      </c>
      <c r="AH6" s="35">
        <f t="shared" si="0"/>
        <v>25</v>
      </c>
      <c r="AI6" s="35">
        <f t="shared" si="1"/>
        <v>1500</v>
      </c>
    </row>
    <row r="7" spans="1:35" ht="21" x14ac:dyDescent="0.5">
      <c r="A7" s="37" t="s">
        <v>200</v>
      </c>
      <c r="B7" s="39"/>
      <c r="C7" s="40">
        <v>0</v>
      </c>
      <c r="D7" s="40">
        <v>0</v>
      </c>
      <c r="E7" s="40">
        <v>2</v>
      </c>
      <c r="F7" s="40">
        <v>0</v>
      </c>
      <c r="G7" s="35">
        <v>0</v>
      </c>
      <c r="H7" s="35">
        <v>0</v>
      </c>
      <c r="I7" s="35">
        <v>0</v>
      </c>
      <c r="J7" s="35">
        <v>2</v>
      </c>
      <c r="K7" s="35">
        <v>0</v>
      </c>
      <c r="L7" s="35">
        <v>0</v>
      </c>
      <c r="M7" s="35">
        <v>0</v>
      </c>
      <c r="N7" s="35">
        <v>2</v>
      </c>
      <c r="O7" s="35">
        <v>0</v>
      </c>
      <c r="P7" s="35">
        <v>0</v>
      </c>
      <c r="Q7" s="35">
        <v>0</v>
      </c>
      <c r="R7" s="35">
        <v>0</v>
      </c>
      <c r="S7" s="35">
        <v>2</v>
      </c>
      <c r="T7" s="35">
        <v>0</v>
      </c>
      <c r="U7" s="35">
        <v>1</v>
      </c>
      <c r="V7" s="35">
        <v>0</v>
      </c>
      <c r="W7" s="35">
        <v>0</v>
      </c>
      <c r="X7" s="35">
        <v>0</v>
      </c>
      <c r="Y7" s="35">
        <v>2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2</v>
      </c>
      <c r="AF7" s="35">
        <v>0</v>
      </c>
      <c r="AG7" s="35">
        <v>0</v>
      </c>
      <c r="AH7" s="35">
        <f t="shared" si="0"/>
        <v>13</v>
      </c>
      <c r="AI7" s="35">
        <f t="shared" si="1"/>
        <v>780</v>
      </c>
    </row>
    <row r="8" spans="1:35" ht="21" x14ac:dyDescent="0.5">
      <c r="A8" s="37" t="s">
        <v>127</v>
      </c>
      <c r="B8" s="39"/>
      <c r="C8" s="40">
        <v>1</v>
      </c>
      <c r="D8" s="40">
        <v>0</v>
      </c>
      <c r="E8" s="40">
        <v>1</v>
      </c>
      <c r="F8" s="40">
        <v>0</v>
      </c>
      <c r="G8" s="35">
        <v>1</v>
      </c>
      <c r="H8" s="35">
        <v>0</v>
      </c>
      <c r="I8" s="35">
        <v>1</v>
      </c>
      <c r="J8" s="35">
        <v>0</v>
      </c>
      <c r="K8" s="35">
        <v>1</v>
      </c>
      <c r="L8" s="35">
        <v>0</v>
      </c>
      <c r="M8" s="35">
        <v>1</v>
      </c>
      <c r="N8" s="35">
        <v>0</v>
      </c>
      <c r="O8" s="35">
        <v>1</v>
      </c>
      <c r="P8" s="35">
        <v>0</v>
      </c>
      <c r="Q8" s="35">
        <v>1</v>
      </c>
      <c r="R8" s="35">
        <v>0</v>
      </c>
      <c r="S8" s="35">
        <v>1</v>
      </c>
      <c r="T8" s="35">
        <v>0</v>
      </c>
      <c r="U8" s="35">
        <v>1</v>
      </c>
      <c r="V8" s="35">
        <v>0</v>
      </c>
      <c r="W8" s="35">
        <v>0</v>
      </c>
      <c r="X8" s="35">
        <v>1</v>
      </c>
      <c r="Y8" s="35">
        <v>0</v>
      </c>
      <c r="Z8" s="35">
        <v>1</v>
      </c>
      <c r="AA8" s="35">
        <v>0</v>
      </c>
      <c r="AB8" s="35">
        <v>1</v>
      </c>
      <c r="AC8" s="35">
        <v>0</v>
      </c>
      <c r="AD8" s="35">
        <v>1</v>
      </c>
      <c r="AE8" s="35">
        <v>0</v>
      </c>
      <c r="AF8" s="35">
        <v>1</v>
      </c>
      <c r="AG8" s="35">
        <v>0</v>
      </c>
      <c r="AH8" s="35">
        <f t="shared" si="0"/>
        <v>15</v>
      </c>
      <c r="AI8" s="35">
        <f t="shared" si="1"/>
        <v>900</v>
      </c>
    </row>
    <row r="9" spans="1:35" ht="21" x14ac:dyDescent="0.5">
      <c r="A9" s="37" t="s">
        <v>128</v>
      </c>
      <c r="B9" s="39">
        <v>3148066167</v>
      </c>
      <c r="C9" s="40">
        <v>2</v>
      </c>
      <c r="D9" s="40">
        <v>0</v>
      </c>
      <c r="E9" s="40">
        <v>0</v>
      </c>
      <c r="F9" s="40">
        <v>0</v>
      </c>
      <c r="G9" s="35">
        <v>4</v>
      </c>
      <c r="H9" s="35">
        <v>0</v>
      </c>
      <c r="I9" s="35">
        <v>0</v>
      </c>
      <c r="J9" s="35">
        <v>0</v>
      </c>
      <c r="K9" s="35">
        <v>0</v>
      </c>
      <c r="L9" s="35">
        <v>4</v>
      </c>
      <c r="M9" s="35">
        <v>0</v>
      </c>
      <c r="N9" s="35">
        <v>0</v>
      </c>
      <c r="O9" s="35">
        <v>0</v>
      </c>
      <c r="P9" s="35">
        <v>4</v>
      </c>
      <c r="Q9" s="35">
        <v>0</v>
      </c>
      <c r="R9" s="35">
        <v>0</v>
      </c>
      <c r="S9" s="35">
        <v>0</v>
      </c>
      <c r="T9" s="35">
        <v>0</v>
      </c>
      <c r="U9" s="35">
        <v>4</v>
      </c>
      <c r="V9" s="35">
        <v>0</v>
      </c>
      <c r="W9" s="35">
        <v>0</v>
      </c>
      <c r="X9" s="35">
        <v>0</v>
      </c>
      <c r="Y9" s="35">
        <v>0</v>
      </c>
      <c r="Z9" s="35">
        <v>4</v>
      </c>
      <c r="AA9" s="35">
        <v>0</v>
      </c>
      <c r="AB9" s="35">
        <v>0</v>
      </c>
      <c r="AC9" s="35">
        <v>0</v>
      </c>
      <c r="AD9" s="35">
        <v>0</v>
      </c>
      <c r="AE9" s="35">
        <v>4</v>
      </c>
      <c r="AF9" s="35">
        <v>0</v>
      </c>
      <c r="AG9" s="35">
        <v>0</v>
      </c>
      <c r="AH9" s="35">
        <f t="shared" si="0"/>
        <v>26</v>
      </c>
      <c r="AI9" s="35">
        <f t="shared" si="1"/>
        <v>1560</v>
      </c>
    </row>
    <row r="10" spans="1:35" ht="21" x14ac:dyDescent="0.5">
      <c r="A10" s="37" t="s">
        <v>129</v>
      </c>
      <c r="B10" s="39">
        <v>3060278863</v>
      </c>
      <c r="C10" s="40">
        <v>2</v>
      </c>
      <c r="D10" s="40">
        <v>0</v>
      </c>
      <c r="E10" s="40">
        <v>2</v>
      </c>
      <c r="F10" s="40">
        <v>0</v>
      </c>
      <c r="G10" s="35">
        <v>1</v>
      </c>
      <c r="H10" s="35">
        <v>0</v>
      </c>
      <c r="I10" s="35">
        <v>1</v>
      </c>
      <c r="J10" s="35">
        <v>0</v>
      </c>
      <c r="K10" s="35">
        <v>2</v>
      </c>
      <c r="L10" s="35">
        <v>0</v>
      </c>
      <c r="M10" s="35">
        <v>2</v>
      </c>
      <c r="N10" s="35">
        <v>0</v>
      </c>
      <c r="O10" s="35">
        <v>2</v>
      </c>
      <c r="P10" s="35">
        <v>0</v>
      </c>
      <c r="Q10" s="35">
        <v>3</v>
      </c>
      <c r="R10" s="35">
        <v>0</v>
      </c>
      <c r="S10" s="35">
        <v>2</v>
      </c>
      <c r="T10" s="35">
        <v>0</v>
      </c>
      <c r="U10" s="35">
        <v>1</v>
      </c>
      <c r="V10" s="35">
        <v>0</v>
      </c>
      <c r="W10" s="35">
        <v>1</v>
      </c>
      <c r="X10" s="35">
        <v>0</v>
      </c>
      <c r="Y10" s="35">
        <v>2</v>
      </c>
      <c r="Z10" s="35">
        <v>0</v>
      </c>
      <c r="AA10" s="35">
        <v>0</v>
      </c>
      <c r="AB10" s="35">
        <v>0</v>
      </c>
      <c r="AC10" s="35">
        <v>3</v>
      </c>
      <c r="AD10" s="35">
        <v>0</v>
      </c>
      <c r="AE10" s="35">
        <v>0</v>
      </c>
      <c r="AF10" s="35">
        <v>0</v>
      </c>
      <c r="AG10" s="35">
        <v>2</v>
      </c>
      <c r="AH10" s="35">
        <f t="shared" si="0"/>
        <v>26</v>
      </c>
      <c r="AI10" s="35">
        <f t="shared" si="1"/>
        <v>1560</v>
      </c>
    </row>
    <row r="11" spans="1:35" ht="21" x14ac:dyDescent="0.5">
      <c r="A11" s="37" t="s">
        <v>131</v>
      </c>
      <c r="B11" s="39"/>
      <c r="C11" s="40">
        <v>1</v>
      </c>
      <c r="D11" s="40">
        <v>2</v>
      </c>
      <c r="E11" s="40">
        <v>2</v>
      </c>
      <c r="F11" s="40">
        <v>4</v>
      </c>
      <c r="G11" s="35">
        <v>0</v>
      </c>
      <c r="H11" s="35">
        <v>1</v>
      </c>
      <c r="I11" s="35">
        <v>3</v>
      </c>
      <c r="J11" s="35">
        <v>1</v>
      </c>
      <c r="K11" s="35">
        <v>2</v>
      </c>
      <c r="L11" s="35">
        <v>4</v>
      </c>
      <c r="M11" s="35">
        <v>1</v>
      </c>
      <c r="N11" s="35">
        <v>0</v>
      </c>
      <c r="O11" s="35">
        <v>2</v>
      </c>
      <c r="P11" s="35">
        <v>2</v>
      </c>
      <c r="Q11" s="35">
        <v>3</v>
      </c>
      <c r="R11" s="35">
        <v>1</v>
      </c>
      <c r="S11" s="35">
        <v>2</v>
      </c>
      <c r="T11" s="35">
        <v>1</v>
      </c>
      <c r="U11" s="35">
        <v>0</v>
      </c>
      <c r="V11" s="35">
        <v>5</v>
      </c>
      <c r="W11" s="35">
        <v>2</v>
      </c>
      <c r="X11" s="35">
        <v>1</v>
      </c>
      <c r="Y11" s="35">
        <v>2</v>
      </c>
      <c r="Z11" s="35">
        <v>3</v>
      </c>
      <c r="AA11" s="35">
        <v>1</v>
      </c>
      <c r="AB11" s="35">
        <v>0</v>
      </c>
      <c r="AC11" s="35">
        <v>4</v>
      </c>
      <c r="AD11" s="35">
        <v>1</v>
      </c>
      <c r="AE11" s="35">
        <v>2</v>
      </c>
      <c r="AF11" s="35">
        <v>2</v>
      </c>
      <c r="AG11" s="35">
        <v>3</v>
      </c>
      <c r="AH11" s="35">
        <f t="shared" si="0"/>
        <v>58</v>
      </c>
      <c r="AI11" s="35">
        <f t="shared" si="1"/>
        <v>3480</v>
      </c>
    </row>
    <row r="12" spans="1:35" ht="21" x14ac:dyDescent="0.5">
      <c r="A12" s="37" t="s">
        <v>130</v>
      </c>
      <c r="B12" s="39">
        <v>3149251340</v>
      </c>
      <c r="C12" s="40">
        <v>1</v>
      </c>
      <c r="D12" s="40">
        <v>0</v>
      </c>
      <c r="E12" s="40">
        <v>1</v>
      </c>
      <c r="F12" s="40">
        <v>0</v>
      </c>
      <c r="G12" s="35">
        <v>1</v>
      </c>
      <c r="H12" s="35">
        <v>0</v>
      </c>
      <c r="I12" s="35">
        <v>1</v>
      </c>
      <c r="J12" s="35">
        <v>0</v>
      </c>
      <c r="K12" s="35">
        <v>1</v>
      </c>
      <c r="L12" s="35">
        <v>0</v>
      </c>
      <c r="M12" s="35">
        <v>1</v>
      </c>
      <c r="N12" s="35">
        <v>0</v>
      </c>
      <c r="O12" s="35">
        <v>1</v>
      </c>
      <c r="P12" s="35">
        <v>0</v>
      </c>
      <c r="Q12" s="35">
        <v>1</v>
      </c>
      <c r="R12" s="35">
        <v>0</v>
      </c>
      <c r="S12" s="35">
        <v>1</v>
      </c>
      <c r="T12" s="35">
        <v>0</v>
      </c>
      <c r="U12" s="35">
        <v>1</v>
      </c>
      <c r="V12" s="35">
        <v>0</v>
      </c>
      <c r="W12" s="35">
        <v>1</v>
      </c>
      <c r="X12" s="35">
        <v>0</v>
      </c>
      <c r="Y12" s="35">
        <v>1</v>
      </c>
      <c r="Z12" s="35">
        <v>0</v>
      </c>
      <c r="AA12" s="35">
        <v>0</v>
      </c>
      <c r="AB12" s="35">
        <v>1</v>
      </c>
      <c r="AC12" s="35">
        <v>0</v>
      </c>
      <c r="AD12" s="35">
        <v>1</v>
      </c>
      <c r="AE12" s="35">
        <v>0</v>
      </c>
      <c r="AF12" s="35">
        <v>1</v>
      </c>
      <c r="AG12" s="35">
        <v>0</v>
      </c>
      <c r="AH12" s="35">
        <f t="shared" si="0"/>
        <v>15</v>
      </c>
      <c r="AI12" s="35">
        <f t="shared" si="1"/>
        <v>900</v>
      </c>
    </row>
    <row r="13" spans="1:35" ht="21" x14ac:dyDescent="0.5">
      <c r="A13" s="37" t="s">
        <v>132</v>
      </c>
      <c r="B13" s="39">
        <v>3332229309</v>
      </c>
      <c r="C13" s="40">
        <v>1</v>
      </c>
      <c r="D13" s="40">
        <v>1</v>
      </c>
      <c r="E13" s="40">
        <v>0</v>
      </c>
      <c r="F13" s="40">
        <v>1</v>
      </c>
      <c r="G13" s="35">
        <v>0</v>
      </c>
      <c r="H13" s="35">
        <v>1</v>
      </c>
      <c r="I13" s="35">
        <v>0</v>
      </c>
      <c r="J13" s="35">
        <v>1</v>
      </c>
      <c r="K13" s="35">
        <v>0</v>
      </c>
      <c r="L13" s="35">
        <v>1</v>
      </c>
      <c r="M13" s="35">
        <v>1</v>
      </c>
      <c r="N13" s="35">
        <v>0</v>
      </c>
      <c r="O13" s="35">
        <v>1</v>
      </c>
      <c r="P13" s="35">
        <v>0</v>
      </c>
      <c r="Q13" s="35">
        <v>1</v>
      </c>
      <c r="R13" s="35">
        <v>0</v>
      </c>
      <c r="S13" s="35">
        <v>0</v>
      </c>
      <c r="T13" s="35">
        <v>1</v>
      </c>
      <c r="U13" s="35">
        <v>0</v>
      </c>
      <c r="V13" s="35">
        <v>1</v>
      </c>
      <c r="W13" s="35">
        <v>0</v>
      </c>
      <c r="X13" s="35">
        <v>1</v>
      </c>
      <c r="Y13" s="35">
        <v>1</v>
      </c>
      <c r="Z13" s="35">
        <v>0</v>
      </c>
      <c r="AA13" s="35">
        <v>0</v>
      </c>
      <c r="AB13" s="35">
        <v>1</v>
      </c>
      <c r="AC13" s="35">
        <v>1</v>
      </c>
      <c r="AD13" s="35">
        <v>1</v>
      </c>
      <c r="AE13" s="35">
        <v>0</v>
      </c>
      <c r="AF13" s="35">
        <v>2</v>
      </c>
      <c r="AG13" s="35">
        <v>1</v>
      </c>
      <c r="AH13" s="35">
        <f t="shared" si="0"/>
        <v>19</v>
      </c>
      <c r="AI13" s="35">
        <f t="shared" si="1"/>
        <v>1140</v>
      </c>
    </row>
    <row r="14" spans="1:35" ht="21" x14ac:dyDescent="0.5">
      <c r="A14" s="37" t="s">
        <v>133</v>
      </c>
      <c r="B14" s="39"/>
      <c r="C14" s="40">
        <v>0</v>
      </c>
      <c r="D14" s="40">
        <v>0</v>
      </c>
      <c r="E14" s="40">
        <v>1</v>
      </c>
      <c r="F14" s="40">
        <v>1</v>
      </c>
      <c r="G14" s="35">
        <v>0</v>
      </c>
      <c r="H14" s="35">
        <v>0</v>
      </c>
      <c r="I14" s="35">
        <v>1</v>
      </c>
      <c r="J14" s="35">
        <v>0</v>
      </c>
      <c r="K14" s="35"/>
      <c r="L14" s="35">
        <v>0</v>
      </c>
      <c r="M14" s="35">
        <v>1</v>
      </c>
      <c r="N14" s="35">
        <v>0</v>
      </c>
      <c r="O14" s="35">
        <v>1</v>
      </c>
      <c r="P14" s="35">
        <v>0</v>
      </c>
      <c r="Q14" s="35">
        <v>1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f t="shared" si="0"/>
        <v>6</v>
      </c>
      <c r="AI14" s="35">
        <f t="shared" si="1"/>
        <v>360</v>
      </c>
    </row>
    <row r="15" spans="1:35" ht="21" x14ac:dyDescent="0.5">
      <c r="A15" s="37" t="s">
        <v>134</v>
      </c>
      <c r="B15" s="39">
        <v>3481802364</v>
      </c>
      <c r="C15" s="40">
        <v>0</v>
      </c>
      <c r="D15" s="40">
        <v>1</v>
      </c>
      <c r="E15" s="40">
        <v>1</v>
      </c>
      <c r="F15" s="40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f t="shared" si="0"/>
        <v>2</v>
      </c>
      <c r="AI15" s="35">
        <f t="shared" si="1"/>
        <v>120</v>
      </c>
    </row>
    <row r="16" spans="1:35" ht="21" x14ac:dyDescent="0.5">
      <c r="A16" s="37" t="s">
        <v>135</v>
      </c>
      <c r="B16" s="39"/>
      <c r="C16" s="40">
        <v>1</v>
      </c>
      <c r="D16" s="40">
        <v>1</v>
      </c>
      <c r="E16" s="40">
        <v>0</v>
      </c>
      <c r="F16" s="40">
        <v>0</v>
      </c>
      <c r="G16" s="35">
        <v>1</v>
      </c>
      <c r="H16" s="35">
        <v>1</v>
      </c>
      <c r="I16" s="35">
        <v>0</v>
      </c>
      <c r="J16" s="35">
        <v>1</v>
      </c>
      <c r="K16" s="35">
        <v>1</v>
      </c>
      <c r="L16" s="35">
        <v>1</v>
      </c>
      <c r="M16" s="35">
        <v>0</v>
      </c>
      <c r="N16" s="35">
        <v>1</v>
      </c>
      <c r="O16" s="35">
        <v>1</v>
      </c>
      <c r="P16" s="35">
        <v>1</v>
      </c>
      <c r="Q16" s="35">
        <v>1</v>
      </c>
      <c r="R16" s="35">
        <v>1</v>
      </c>
      <c r="S16" s="35">
        <v>0</v>
      </c>
      <c r="T16" s="35">
        <v>0</v>
      </c>
      <c r="U16" s="35">
        <v>0</v>
      </c>
      <c r="V16" s="35">
        <v>1</v>
      </c>
      <c r="W16" s="35">
        <v>1</v>
      </c>
      <c r="X16" s="35">
        <v>1</v>
      </c>
      <c r="Y16" s="35">
        <v>1</v>
      </c>
      <c r="Z16" s="35">
        <v>1</v>
      </c>
      <c r="AA16" s="35">
        <v>0</v>
      </c>
      <c r="AB16" s="35">
        <v>1</v>
      </c>
      <c r="AC16" s="35">
        <v>0</v>
      </c>
      <c r="AD16" s="35">
        <v>1</v>
      </c>
      <c r="AE16" s="35">
        <v>1</v>
      </c>
      <c r="AF16" s="35">
        <v>1</v>
      </c>
      <c r="AG16" s="35">
        <v>0</v>
      </c>
      <c r="AH16" s="35">
        <f t="shared" si="0"/>
        <v>21</v>
      </c>
      <c r="AI16" s="35">
        <f t="shared" si="1"/>
        <v>1260</v>
      </c>
    </row>
    <row r="17" spans="1:35" ht="21" x14ac:dyDescent="0.5">
      <c r="A17" s="37" t="s">
        <v>207</v>
      </c>
      <c r="B17" s="39"/>
      <c r="C17" s="40">
        <v>1</v>
      </c>
      <c r="D17" s="40">
        <v>0</v>
      </c>
      <c r="E17" s="40">
        <v>1</v>
      </c>
      <c r="F17" s="40">
        <v>0</v>
      </c>
      <c r="G17" s="35">
        <v>1</v>
      </c>
      <c r="H17" s="35">
        <v>0</v>
      </c>
      <c r="I17" s="35">
        <v>1</v>
      </c>
      <c r="J17" s="35">
        <v>1</v>
      </c>
      <c r="K17" s="35">
        <v>1</v>
      </c>
      <c r="L17" s="35">
        <v>0</v>
      </c>
      <c r="M17" s="35">
        <v>1</v>
      </c>
      <c r="N17" s="35">
        <v>0</v>
      </c>
      <c r="O17" s="35">
        <v>1</v>
      </c>
      <c r="P17" s="35">
        <v>0</v>
      </c>
      <c r="Q17" s="35">
        <v>1</v>
      </c>
      <c r="R17" s="35">
        <v>0</v>
      </c>
      <c r="S17" s="35">
        <v>1</v>
      </c>
      <c r="T17" s="35">
        <v>0</v>
      </c>
      <c r="U17" s="35">
        <v>1</v>
      </c>
      <c r="V17" s="35">
        <v>0</v>
      </c>
      <c r="W17" s="35">
        <v>1</v>
      </c>
      <c r="X17" s="35">
        <v>0</v>
      </c>
      <c r="Y17" s="35">
        <v>1</v>
      </c>
      <c r="Z17" s="35">
        <v>0</v>
      </c>
      <c r="AA17" s="35">
        <v>1</v>
      </c>
      <c r="AB17" s="35">
        <v>0</v>
      </c>
      <c r="AC17" s="35">
        <v>1</v>
      </c>
      <c r="AD17" s="35">
        <v>0</v>
      </c>
      <c r="AE17" s="35">
        <v>1</v>
      </c>
      <c r="AF17" s="35">
        <v>0</v>
      </c>
      <c r="AG17" s="35">
        <v>1</v>
      </c>
      <c r="AH17" s="35">
        <f t="shared" si="0"/>
        <v>17</v>
      </c>
      <c r="AI17" s="35">
        <f t="shared" si="1"/>
        <v>1020</v>
      </c>
    </row>
    <row r="18" spans="1:35" ht="21" x14ac:dyDescent="0.5">
      <c r="A18" s="37" t="s">
        <v>136</v>
      </c>
      <c r="B18" s="39"/>
      <c r="C18" s="40">
        <v>1</v>
      </c>
      <c r="D18" s="40">
        <v>1</v>
      </c>
      <c r="E18" s="40">
        <v>0</v>
      </c>
      <c r="F18" s="40">
        <v>0</v>
      </c>
      <c r="G18" s="35">
        <v>1</v>
      </c>
      <c r="H18" s="35">
        <v>1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f t="shared" si="0"/>
        <v>4</v>
      </c>
      <c r="AI18" s="35">
        <f t="shared" si="1"/>
        <v>240</v>
      </c>
    </row>
    <row r="19" spans="1:35" ht="21" x14ac:dyDescent="0.5">
      <c r="A19" s="37" t="s">
        <v>138</v>
      </c>
      <c r="B19" s="39"/>
      <c r="C19" s="40">
        <v>1</v>
      </c>
      <c r="D19" s="40">
        <v>1</v>
      </c>
      <c r="E19" s="40">
        <v>0</v>
      </c>
      <c r="F19" s="40">
        <v>1</v>
      </c>
      <c r="G19" s="35">
        <v>1</v>
      </c>
      <c r="H19" s="35">
        <v>1</v>
      </c>
      <c r="I19" s="35">
        <v>1</v>
      </c>
      <c r="J19" s="35">
        <v>1</v>
      </c>
      <c r="K19" s="35">
        <v>1</v>
      </c>
      <c r="L19" s="35">
        <v>1</v>
      </c>
      <c r="M19" s="35">
        <v>0</v>
      </c>
      <c r="N19" s="35">
        <v>0</v>
      </c>
      <c r="O19" s="35">
        <v>2</v>
      </c>
      <c r="P19" s="35">
        <v>1</v>
      </c>
      <c r="Q19" s="35">
        <v>0</v>
      </c>
      <c r="R19" s="35">
        <v>0</v>
      </c>
      <c r="S19" s="35">
        <v>1</v>
      </c>
      <c r="T19" s="35">
        <v>1</v>
      </c>
      <c r="U19" s="35">
        <v>0</v>
      </c>
      <c r="V19" s="35">
        <v>0</v>
      </c>
      <c r="W19" s="35">
        <v>2</v>
      </c>
      <c r="X19" s="35">
        <v>1</v>
      </c>
      <c r="Y19" s="35">
        <v>0</v>
      </c>
      <c r="Z19" s="35">
        <v>1</v>
      </c>
      <c r="AA19" s="35">
        <v>0</v>
      </c>
      <c r="AB19" s="35">
        <v>2</v>
      </c>
      <c r="AC19" s="35">
        <v>0</v>
      </c>
      <c r="AD19" s="35">
        <v>2</v>
      </c>
      <c r="AE19" s="35">
        <v>1</v>
      </c>
      <c r="AF19" s="35">
        <v>1</v>
      </c>
      <c r="AG19" s="35">
        <v>1</v>
      </c>
      <c r="AH19" s="35">
        <f t="shared" si="0"/>
        <v>25</v>
      </c>
      <c r="AI19" s="35">
        <f t="shared" si="1"/>
        <v>1500</v>
      </c>
    </row>
    <row r="20" spans="1:35" ht="21" x14ac:dyDescent="0.5">
      <c r="A20" s="37" t="s">
        <v>139</v>
      </c>
      <c r="B20" s="39"/>
      <c r="C20" s="40">
        <v>2</v>
      </c>
      <c r="D20" s="40">
        <v>0</v>
      </c>
      <c r="E20" s="40">
        <v>2</v>
      </c>
      <c r="F20" s="40">
        <v>0</v>
      </c>
      <c r="G20" s="35">
        <v>2</v>
      </c>
      <c r="H20" s="35">
        <v>0</v>
      </c>
      <c r="I20" s="35">
        <v>2</v>
      </c>
      <c r="J20" s="35">
        <v>0</v>
      </c>
      <c r="K20" s="35">
        <v>1</v>
      </c>
      <c r="L20" s="35">
        <v>1</v>
      </c>
      <c r="M20" s="35">
        <v>1</v>
      </c>
      <c r="N20" s="35">
        <v>0</v>
      </c>
      <c r="O20" s="35">
        <v>0</v>
      </c>
      <c r="P20" s="35">
        <v>2</v>
      </c>
      <c r="Q20" s="35">
        <v>1</v>
      </c>
      <c r="R20" s="35">
        <v>1</v>
      </c>
      <c r="S20" s="35">
        <v>1</v>
      </c>
      <c r="T20" s="35">
        <v>0</v>
      </c>
      <c r="U20" s="35">
        <v>2</v>
      </c>
      <c r="V20" s="35">
        <v>0</v>
      </c>
      <c r="W20" s="35">
        <v>2</v>
      </c>
      <c r="X20" s="35">
        <v>0</v>
      </c>
      <c r="Y20" s="35">
        <v>1</v>
      </c>
      <c r="Z20" s="35">
        <v>1</v>
      </c>
      <c r="AA20" s="35">
        <v>0</v>
      </c>
      <c r="AB20" s="35">
        <v>2</v>
      </c>
      <c r="AC20" s="35">
        <v>0</v>
      </c>
      <c r="AD20" s="35">
        <v>2</v>
      </c>
      <c r="AE20" s="35">
        <v>0</v>
      </c>
      <c r="AF20" s="35">
        <v>2</v>
      </c>
      <c r="AG20" s="35">
        <v>1</v>
      </c>
      <c r="AH20" s="35">
        <f t="shared" si="0"/>
        <v>29</v>
      </c>
      <c r="AI20" s="35">
        <f t="shared" si="1"/>
        <v>1740</v>
      </c>
    </row>
    <row r="21" spans="1:35" ht="21" x14ac:dyDescent="0.5">
      <c r="A21" s="37" t="s">
        <v>140</v>
      </c>
      <c r="B21" s="39"/>
      <c r="C21" s="40">
        <v>1</v>
      </c>
      <c r="D21" s="40">
        <v>1</v>
      </c>
      <c r="E21" s="40">
        <v>1</v>
      </c>
      <c r="F21" s="40">
        <v>2</v>
      </c>
      <c r="G21" s="35">
        <v>1</v>
      </c>
      <c r="H21" s="35">
        <v>2</v>
      </c>
      <c r="I21" s="35">
        <v>1</v>
      </c>
      <c r="J21" s="35">
        <v>1</v>
      </c>
      <c r="K21" s="35">
        <v>1</v>
      </c>
      <c r="L21" s="35">
        <v>1</v>
      </c>
      <c r="M21" s="35">
        <v>1</v>
      </c>
      <c r="N21" s="35">
        <v>1</v>
      </c>
      <c r="O21" s="35">
        <v>1</v>
      </c>
      <c r="P21" s="35">
        <v>1</v>
      </c>
      <c r="Q21" s="35">
        <v>1</v>
      </c>
      <c r="R21" s="35">
        <v>1</v>
      </c>
      <c r="S21" s="35">
        <v>1</v>
      </c>
      <c r="T21" s="35">
        <v>1</v>
      </c>
      <c r="U21" s="35">
        <v>1</v>
      </c>
      <c r="V21" s="35">
        <v>1</v>
      </c>
      <c r="W21" s="35">
        <v>1</v>
      </c>
      <c r="X21" s="35">
        <v>1</v>
      </c>
      <c r="Y21" s="35">
        <v>1</v>
      </c>
      <c r="Z21" s="35">
        <v>1</v>
      </c>
      <c r="AA21" s="35">
        <v>1</v>
      </c>
      <c r="AB21" s="35">
        <v>1</v>
      </c>
      <c r="AC21" s="35">
        <v>1</v>
      </c>
      <c r="AD21" s="35">
        <v>1</v>
      </c>
      <c r="AE21" s="35">
        <v>1</v>
      </c>
      <c r="AF21" s="35">
        <v>1</v>
      </c>
      <c r="AG21" s="35">
        <v>1</v>
      </c>
      <c r="AH21" s="35">
        <f t="shared" si="0"/>
        <v>33</v>
      </c>
      <c r="AI21" s="35">
        <f t="shared" si="1"/>
        <v>1980</v>
      </c>
    </row>
    <row r="22" spans="1:35" ht="21" x14ac:dyDescent="0.5">
      <c r="A22" s="37" t="s">
        <v>141</v>
      </c>
      <c r="B22" s="41"/>
      <c r="C22" s="40">
        <v>2</v>
      </c>
      <c r="D22" s="40">
        <v>1</v>
      </c>
      <c r="E22" s="40">
        <v>1</v>
      </c>
      <c r="F22" s="40">
        <v>1</v>
      </c>
      <c r="G22" s="35">
        <v>1</v>
      </c>
      <c r="H22" s="35">
        <v>1</v>
      </c>
      <c r="I22" s="35">
        <v>1</v>
      </c>
      <c r="J22" s="35">
        <v>1</v>
      </c>
      <c r="K22" s="35">
        <v>1</v>
      </c>
      <c r="L22" s="35">
        <v>2</v>
      </c>
      <c r="M22" s="35">
        <v>1</v>
      </c>
      <c r="N22" s="35">
        <v>1</v>
      </c>
      <c r="O22" s="35">
        <v>2</v>
      </c>
      <c r="P22" s="35">
        <v>0</v>
      </c>
      <c r="Q22" s="35">
        <v>2</v>
      </c>
      <c r="R22" s="35">
        <v>1</v>
      </c>
      <c r="S22" s="35">
        <v>2</v>
      </c>
      <c r="T22" s="35">
        <v>0</v>
      </c>
      <c r="U22" s="35">
        <v>2</v>
      </c>
      <c r="V22" s="35">
        <v>1</v>
      </c>
      <c r="W22" s="35">
        <v>1</v>
      </c>
      <c r="X22" s="35">
        <v>1</v>
      </c>
      <c r="Y22" s="35">
        <v>2</v>
      </c>
      <c r="Z22" s="35">
        <v>0</v>
      </c>
      <c r="AA22" s="35">
        <v>1</v>
      </c>
      <c r="AB22" s="35">
        <v>1</v>
      </c>
      <c r="AC22" s="35">
        <v>1</v>
      </c>
      <c r="AD22" s="35">
        <v>1</v>
      </c>
      <c r="AE22" s="35">
        <v>1</v>
      </c>
      <c r="AF22" s="35">
        <v>1</v>
      </c>
      <c r="AG22" s="35">
        <v>1</v>
      </c>
      <c r="AH22" s="35">
        <f t="shared" si="0"/>
        <v>35</v>
      </c>
      <c r="AI22" s="35">
        <f t="shared" si="1"/>
        <v>2100</v>
      </c>
    </row>
    <row r="23" spans="1:35" ht="21" x14ac:dyDescent="0.5">
      <c r="A23" s="37" t="s">
        <v>142</v>
      </c>
      <c r="B23" s="39"/>
      <c r="C23" s="40">
        <v>1</v>
      </c>
      <c r="D23" s="40">
        <v>0</v>
      </c>
      <c r="E23" s="40">
        <v>0</v>
      </c>
      <c r="F23" s="40">
        <v>0</v>
      </c>
      <c r="G23" s="35">
        <v>1</v>
      </c>
      <c r="H23" s="35">
        <v>0</v>
      </c>
      <c r="I23" s="35">
        <v>1</v>
      </c>
      <c r="J23" s="35">
        <v>0</v>
      </c>
      <c r="K23" s="35">
        <v>0</v>
      </c>
      <c r="L23" s="35">
        <v>1</v>
      </c>
      <c r="M23" s="35">
        <v>1</v>
      </c>
      <c r="N23" s="35">
        <v>0</v>
      </c>
      <c r="O23" s="35">
        <v>0</v>
      </c>
      <c r="P23" s="35">
        <v>1</v>
      </c>
      <c r="Q23" s="35">
        <v>0</v>
      </c>
      <c r="R23" s="35">
        <v>0</v>
      </c>
      <c r="S23" s="35">
        <v>0</v>
      </c>
      <c r="T23" s="35">
        <v>1</v>
      </c>
      <c r="U23" s="35">
        <v>1</v>
      </c>
      <c r="V23" s="35">
        <v>0</v>
      </c>
      <c r="W23" s="35">
        <v>1</v>
      </c>
      <c r="X23" s="35">
        <v>1</v>
      </c>
      <c r="Y23" s="35">
        <v>0</v>
      </c>
      <c r="Z23" s="35">
        <v>1</v>
      </c>
      <c r="AA23" s="35">
        <v>1</v>
      </c>
      <c r="AB23" s="35">
        <v>0</v>
      </c>
      <c r="AC23" s="35">
        <v>0</v>
      </c>
      <c r="AD23" s="35">
        <v>1</v>
      </c>
      <c r="AE23" s="35">
        <v>0</v>
      </c>
      <c r="AF23" s="35">
        <v>0</v>
      </c>
      <c r="AG23" s="35">
        <v>0</v>
      </c>
      <c r="AH23" s="35">
        <f t="shared" si="0"/>
        <v>13</v>
      </c>
      <c r="AI23" s="35">
        <f t="shared" si="1"/>
        <v>780</v>
      </c>
    </row>
    <row r="24" spans="1:35" ht="21" x14ac:dyDescent="0.5">
      <c r="A24" s="37" t="s">
        <v>210</v>
      </c>
      <c r="B24" s="39"/>
      <c r="C24" s="40">
        <v>0</v>
      </c>
      <c r="D24" s="40">
        <v>1</v>
      </c>
      <c r="E24" s="40">
        <v>0</v>
      </c>
      <c r="F24" s="40">
        <v>1</v>
      </c>
      <c r="G24" s="35">
        <v>0</v>
      </c>
      <c r="H24" s="35">
        <v>1</v>
      </c>
      <c r="I24" s="35">
        <v>0</v>
      </c>
      <c r="J24" s="35">
        <v>1</v>
      </c>
      <c r="K24" s="35">
        <v>0</v>
      </c>
      <c r="L24" s="35">
        <v>1</v>
      </c>
      <c r="M24" s="35">
        <v>0</v>
      </c>
      <c r="N24" s="35">
        <v>1</v>
      </c>
      <c r="O24" s="35">
        <v>0</v>
      </c>
      <c r="P24" s="35">
        <v>1</v>
      </c>
      <c r="Q24" s="35">
        <v>0</v>
      </c>
      <c r="R24" s="35">
        <v>1</v>
      </c>
      <c r="S24" s="35">
        <v>0</v>
      </c>
      <c r="T24" s="35">
        <v>0</v>
      </c>
      <c r="U24" s="35">
        <v>1</v>
      </c>
      <c r="V24" s="35">
        <v>0</v>
      </c>
      <c r="W24" s="35">
        <v>1</v>
      </c>
      <c r="X24" s="35">
        <v>0</v>
      </c>
      <c r="Y24" s="35">
        <v>1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f t="shared" si="0"/>
        <v>11</v>
      </c>
      <c r="AI24" s="35">
        <f t="shared" si="1"/>
        <v>660</v>
      </c>
    </row>
    <row r="25" spans="1:35" ht="21" x14ac:dyDescent="0.5">
      <c r="A25" s="37" t="s">
        <v>211</v>
      </c>
      <c r="B25" s="39"/>
      <c r="C25" s="40">
        <v>1</v>
      </c>
      <c r="D25" s="40">
        <v>1</v>
      </c>
      <c r="E25" s="40">
        <v>1</v>
      </c>
      <c r="F25" s="40">
        <v>1</v>
      </c>
      <c r="G25" s="35">
        <v>1</v>
      </c>
      <c r="H25" s="35">
        <v>1</v>
      </c>
      <c r="I25" s="35">
        <v>1</v>
      </c>
      <c r="J25" s="35">
        <v>0</v>
      </c>
      <c r="K25" s="35">
        <v>1</v>
      </c>
      <c r="L25" s="35">
        <v>1</v>
      </c>
      <c r="M25" s="35">
        <v>1</v>
      </c>
      <c r="N25" s="35">
        <v>1</v>
      </c>
      <c r="O25" s="35">
        <v>1</v>
      </c>
      <c r="P25" s="35">
        <v>1</v>
      </c>
      <c r="Q25" s="35">
        <v>1</v>
      </c>
      <c r="R25" s="35">
        <v>1</v>
      </c>
      <c r="S25" s="35">
        <v>1</v>
      </c>
      <c r="T25" s="35">
        <v>1</v>
      </c>
      <c r="U25" s="35">
        <v>1</v>
      </c>
      <c r="V25" s="35">
        <v>1</v>
      </c>
      <c r="W25" s="35">
        <v>1</v>
      </c>
      <c r="X25" s="35">
        <v>1</v>
      </c>
      <c r="Y25" s="35">
        <v>1</v>
      </c>
      <c r="Z25" s="35">
        <v>1</v>
      </c>
      <c r="AA25" s="35">
        <v>1</v>
      </c>
      <c r="AB25" s="35">
        <v>1</v>
      </c>
      <c r="AC25" s="35">
        <v>1</v>
      </c>
      <c r="AD25" s="35">
        <v>1</v>
      </c>
      <c r="AE25" s="35">
        <v>0</v>
      </c>
      <c r="AF25" s="35">
        <v>1</v>
      </c>
      <c r="AG25" s="35">
        <v>1</v>
      </c>
      <c r="AH25" s="35">
        <f t="shared" si="0"/>
        <v>29</v>
      </c>
      <c r="AI25" s="35">
        <f t="shared" si="1"/>
        <v>1740</v>
      </c>
    </row>
    <row r="26" spans="1:35" ht="21" x14ac:dyDescent="0.5">
      <c r="A26" s="37" t="s">
        <v>212</v>
      </c>
      <c r="B26" s="39"/>
      <c r="C26" s="40">
        <v>2</v>
      </c>
      <c r="D26" s="40">
        <v>1</v>
      </c>
      <c r="E26" s="40">
        <v>2</v>
      </c>
      <c r="F26" s="40">
        <v>2</v>
      </c>
      <c r="G26" s="35">
        <v>1</v>
      </c>
      <c r="H26" s="35">
        <v>1</v>
      </c>
      <c r="I26" s="35">
        <v>2</v>
      </c>
      <c r="J26" s="35">
        <v>2</v>
      </c>
      <c r="K26" s="35">
        <v>1</v>
      </c>
      <c r="L26" s="35">
        <v>1</v>
      </c>
      <c r="M26" s="35">
        <v>2</v>
      </c>
      <c r="N26" s="35">
        <v>1</v>
      </c>
      <c r="O26" s="35">
        <v>2</v>
      </c>
      <c r="P26" s="35">
        <v>1</v>
      </c>
      <c r="Q26" s="35">
        <v>2</v>
      </c>
      <c r="R26" s="35">
        <v>1</v>
      </c>
      <c r="S26" s="35">
        <v>1</v>
      </c>
      <c r="T26" s="35">
        <v>2</v>
      </c>
      <c r="U26" s="35">
        <v>1</v>
      </c>
      <c r="V26" s="35">
        <v>1</v>
      </c>
      <c r="W26" s="35">
        <v>2</v>
      </c>
      <c r="X26" s="35">
        <v>1</v>
      </c>
      <c r="Y26" s="35">
        <v>2</v>
      </c>
      <c r="Z26" s="35">
        <v>1</v>
      </c>
      <c r="AA26" s="35">
        <v>1</v>
      </c>
      <c r="AB26" s="35">
        <v>1</v>
      </c>
      <c r="AC26" s="35">
        <v>1</v>
      </c>
      <c r="AD26" s="35">
        <v>2</v>
      </c>
      <c r="AE26" s="35">
        <v>1</v>
      </c>
      <c r="AF26" s="35">
        <v>2</v>
      </c>
      <c r="AG26" s="35">
        <v>2</v>
      </c>
      <c r="AH26" s="35">
        <f t="shared" si="0"/>
        <v>45</v>
      </c>
      <c r="AI26" s="35">
        <f t="shared" si="1"/>
        <v>2700</v>
      </c>
    </row>
    <row r="27" spans="1:35" ht="21" x14ac:dyDescent="0.5">
      <c r="A27" s="37" t="s">
        <v>213</v>
      </c>
      <c r="B27" s="39"/>
      <c r="C27" s="40">
        <v>0</v>
      </c>
      <c r="D27" s="40">
        <v>1</v>
      </c>
      <c r="E27" s="40">
        <v>0</v>
      </c>
      <c r="F27" s="40">
        <v>1</v>
      </c>
      <c r="G27" s="35">
        <v>0</v>
      </c>
      <c r="H27" s="35">
        <v>1</v>
      </c>
      <c r="I27" s="35">
        <v>0</v>
      </c>
      <c r="J27" s="35">
        <v>2</v>
      </c>
      <c r="K27" s="35">
        <v>0</v>
      </c>
      <c r="L27" s="35">
        <v>1</v>
      </c>
      <c r="M27" s="35">
        <v>0</v>
      </c>
      <c r="N27" s="35">
        <v>1</v>
      </c>
      <c r="O27" s="35">
        <v>0</v>
      </c>
      <c r="P27" s="35">
        <v>1</v>
      </c>
      <c r="Q27" s="35">
        <v>0</v>
      </c>
      <c r="R27" s="35">
        <v>2</v>
      </c>
      <c r="S27" s="35">
        <v>0</v>
      </c>
      <c r="T27" s="35">
        <v>1</v>
      </c>
      <c r="U27" s="35">
        <v>0</v>
      </c>
      <c r="V27" s="35">
        <v>1</v>
      </c>
      <c r="W27" s="35">
        <v>0</v>
      </c>
      <c r="X27" s="35">
        <v>1</v>
      </c>
      <c r="Y27" s="35">
        <v>0</v>
      </c>
      <c r="Z27" s="35">
        <v>2</v>
      </c>
      <c r="AA27" s="35">
        <v>0</v>
      </c>
      <c r="AB27" s="35">
        <v>3</v>
      </c>
      <c r="AC27" s="35">
        <v>0</v>
      </c>
      <c r="AD27" s="35">
        <v>2</v>
      </c>
      <c r="AE27" s="35">
        <v>0</v>
      </c>
      <c r="AF27" s="35">
        <v>0</v>
      </c>
      <c r="AG27" s="35">
        <v>0</v>
      </c>
      <c r="AH27" s="35">
        <f t="shared" si="0"/>
        <v>20</v>
      </c>
      <c r="AI27" s="35">
        <f t="shared" si="1"/>
        <v>1200</v>
      </c>
    </row>
    <row r="28" spans="1:35" ht="21" x14ac:dyDescent="0.5">
      <c r="A28" s="37" t="s">
        <v>257</v>
      </c>
      <c r="B28" s="39"/>
      <c r="C28" s="40">
        <v>1</v>
      </c>
      <c r="D28" s="40">
        <v>1</v>
      </c>
      <c r="E28" s="40">
        <v>0</v>
      </c>
      <c r="F28" s="40">
        <v>1</v>
      </c>
      <c r="G28" s="35">
        <v>1</v>
      </c>
      <c r="H28" s="35">
        <v>1</v>
      </c>
      <c r="I28" s="35">
        <v>1</v>
      </c>
      <c r="J28" s="35">
        <v>1</v>
      </c>
      <c r="K28" s="35">
        <v>1</v>
      </c>
      <c r="L28" s="35">
        <v>1</v>
      </c>
      <c r="M28" s="35">
        <v>1</v>
      </c>
      <c r="N28" s="35">
        <v>0</v>
      </c>
      <c r="O28" s="35">
        <v>1</v>
      </c>
      <c r="P28" s="35">
        <v>1</v>
      </c>
      <c r="Q28" s="35">
        <v>1</v>
      </c>
      <c r="R28" s="35">
        <v>1</v>
      </c>
      <c r="S28" s="35">
        <v>1</v>
      </c>
      <c r="T28" s="35">
        <v>1</v>
      </c>
      <c r="U28" s="35">
        <v>1</v>
      </c>
      <c r="V28" s="35">
        <v>0</v>
      </c>
      <c r="W28" s="35">
        <v>0</v>
      </c>
      <c r="X28" s="35">
        <v>0</v>
      </c>
      <c r="Y28" s="35">
        <v>0</v>
      </c>
      <c r="Z28" s="35">
        <v>1</v>
      </c>
      <c r="AA28" s="35">
        <v>1</v>
      </c>
      <c r="AB28" s="35">
        <v>1</v>
      </c>
      <c r="AC28" s="35">
        <v>1</v>
      </c>
      <c r="AD28" s="35">
        <v>1</v>
      </c>
      <c r="AE28" s="35">
        <v>1</v>
      </c>
      <c r="AF28" s="35">
        <v>1</v>
      </c>
      <c r="AG28" s="35">
        <v>1</v>
      </c>
      <c r="AH28" s="35">
        <f t="shared" si="0"/>
        <v>25</v>
      </c>
      <c r="AI28" s="35">
        <f t="shared" si="1"/>
        <v>1500</v>
      </c>
    </row>
    <row r="29" spans="1:35" ht="21" x14ac:dyDescent="0.5">
      <c r="A29" s="37" t="s">
        <v>258</v>
      </c>
      <c r="B29" s="39"/>
      <c r="C29" s="40">
        <v>1</v>
      </c>
      <c r="D29" s="40">
        <v>0</v>
      </c>
      <c r="E29" s="40">
        <v>1</v>
      </c>
      <c r="F29" s="40">
        <v>0</v>
      </c>
      <c r="G29" s="35">
        <v>1</v>
      </c>
      <c r="H29" s="35">
        <v>0</v>
      </c>
      <c r="I29" s="35">
        <v>1</v>
      </c>
      <c r="J29" s="35">
        <v>1</v>
      </c>
      <c r="K29" s="35">
        <v>0</v>
      </c>
      <c r="L29" s="35">
        <v>1</v>
      </c>
      <c r="M29" s="35">
        <v>1</v>
      </c>
      <c r="N29" s="35">
        <v>0</v>
      </c>
      <c r="O29" s="35">
        <v>1</v>
      </c>
      <c r="P29" s="35">
        <v>1</v>
      </c>
      <c r="Q29" s="35">
        <v>0</v>
      </c>
      <c r="R29" s="35">
        <v>1</v>
      </c>
      <c r="S29" s="35">
        <v>0</v>
      </c>
      <c r="T29" s="35">
        <v>1</v>
      </c>
      <c r="U29" s="35">
        <v>1</v>
      </c>
      <c r="V29" s="35">
        <v>0</v>
      </c>
      <c r="W29" s="35">
        <v>1</v>
      </c>
      <c r="X29" s="35">
        <v>0</v>
      </c>
      <c r="Y29" s="35">
        <v>1</v>
      </c>
      <c r="Z29" s="35">
        <v>1</v>
      </c>
      <c r="AA29" s="35">
        <v>0</v>
      </c>
      <c r="AB29" s="35">
        <v>1</v>
      </c>
      <c r="AC29" s="35">
        <v>0</v>
      </c>
      <c r="AD29" s="35">
        <v>1</v>
      </c>
      <c r="AE29" s="35">
        <v>1</v>
      </c>
      <c r="AF29" s="35">
        <v>1</v>
      </c>
      <c r="AG29" s="35">
        <v>0</v>
      </c>
      <c r="AH29" s="35">
        <f t="shared" si="0"/>
        <v>19</v>
      </c>
      <c r="AI29" s="35">
        <f t="shared" si="1"/>
        <v>1140</v>
      </c>
    </row>
    <row r="30" spans="1:35" ht="21" x14ac:dyDescent="0.5">
      <c r="A30" s="37" t="s">
        <v>259</v>
      </c>
      <c r="B30" s="39"/>
      <c r="C30" s="40">
        <v>0</v>
      </c>
      <c r="D30" s="40">
        <v>4</v>
      </c>
      <c r="E30" s="40">
        <v>0</v>
      </c>
      <c r="F30" s="40">
        <v>0</v>
      </c>
      <c r="G30" s="35">
        <v>0</v>
      </c>
      <c r="H30" s="35">
        <v>0</v>
      </c>
      <c r="I30" s="35">
        <v>0</v>
      </c>
      <c r="J30" s="35">
        <v>4</v>
      </c>
      <c r="K30" s="35">
        <v>0</v>
      </c>
      <c r="L30" s="35">
        <v>2</v>
      </c>
      <c r="M30" s="35">
        <v>0</v>
      </c>
      <c r="N30" s="35">
        <v>0</v>
      </c>
      <c r="O30" s="35">
        <v>0</v>
      </c>
      <c r="P30" s="35">
        <v>0</v>
      </c>
      <c r="Q30" s="35">
        <v>4</v>
      </c>
      <c r="R30" s="35">
        <v>0</v>
      </c>
      <c r="S30" s="35">
        <v>0</v>
      </c>
      <c r="T30" s="35">
        <v>0</v>
      </c>
      <c r="U30" s="35">
        <v>0</v>
      </c>
      <c r="V30" s="35">
        <v>4</v>
      </c>
      <c r="W30" s="35">
        <v>0</v>
      </c>
      <c r="X30" s="35">
        <v>0</v>
      </c>
      <c r="Y30" s="35">
        <v>0</v>
      </c>
      <c r="Z30" s="35">
        <v>0</v>
      </c>
      <c r="AA30" s="35">
        <v>2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2</v>
      </c>
      <c r="AH30" s="35">
        <f t="shared" si="0"/>
        <v>22</v>
      </c>
      <c r="AI30" s="35">
        <f t="shared" si="1"/>
        <v>1320</v>
      </c>
    </row>
    <row r="31" spans="1:35" ht="21" x14ac:dyDescent="0.5">
      <c r="A31" s="37" t="s">
        <v>260</v>
      </c>
      <c r="B31" s="39"/>
      <c r="C31" s="40">
        <v>0</v>
      </c>
      <c r="D31" s="40">
        <v>0</v>
      </c>
      <c r="E31" s="40">
        <v>0</v>
      </c>
      <c r="F31" s="40">
        <v>2</v>
      </c>
      <c r="G31" s="35">
        <v>0</v>
      </c>
      <c r="H31" s="35">
        <v>0</v>
      </c>
      <c r="I31" s="35">
        <v>0</v>
      </c>
      <c r="J31" s="35">
        <v>2</v>
      </c>
      <c r="K31" s="35">
        <v>0</v>
      </c>
      <c r="L31" s="35">
        <v>0</v>
      </c>
      <c r="M31" s="35">
        <v>0</v>
      </c>
      <c r="N31" s="35">
        <v>2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2</v>
      </c>
      <c r="U31" s="35">
        <v>0</v>
      </c>
      <c r="V31" s="35">
        <v>2</v>
      </c>
      <c r="W31" s="35">
        <v>0</v>
      </c>
      <c r="X31" s="35">
        <v>0</v>
      </c>
      <c r="Y31" s="35">
        <v>0</v>
      </c>
      <c r="Z31" s="35">
        <v>2</v>
      </c>
      <c r="AA31" s="35">
        <v>0</v>
      </c>
      <c r="AB31" s="35">
        <v>0</v>
      </c>
      <c r="AC31" s="35">
        <v>2</v>
      </c>
      <c r="AD31" s="35">
        <v>0</v>
      </c>
      <c r="AE31" s="35">
        <v>0</v>
      </c>
      <c r="AF31" s="35">
        <v>0</v>
      </c>
      <c r="AG31" s="35">
        <v>0</v>
      </c>
      <c r="AH31" s="35">
        <f t="shared" si="0"/>
        <v>14</v>
      </c>
      <c r="AI31" s="35">
        <f t="shared" si="1"/>
        <v>840</v>
      </c>
    </row>
    <row r="32" spans="1:35" ht="21" x14ac:dyDescent="0.5">
      <c r="A32" s="37" t="s">
        <v>261</v>
      </c>
      <c r="B32" s="39"/>
      <c r="C32" s="40">
        <v>1</v>
      </c>
      <c r="D32" s="40">
        <v>1</v>
      </c>
      <c r="E32" s="40">
        <v>1</v>
      </c>
      <c r="F32" s="40">
        <v>0</v>
      </c>
      <c r="G32" s="35">
        <v>1</v>
      </c>
      <c r="H32" s="35">
        <v>1</v>
      </c>
      <c r="I32" s="35">
        <v>0</v>
      </c>
      <c r="J32" s="35">
        <v>1</v>
      </c>
      <c r="K32" s="35">
        <v>1</v>
      </c>
      <c r="L32" s="35">
        <v>1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f t="shared" si="0"/>
        <v>8</v>
      </c>
      <c r="AI32" s="35">
        <f t="shared" si="1"/>
        <v>480</v>
      </c>
    </row>
    <row r="33" spans="1:36" ht="21" x14ac:dyDescent="0.5">
      <c r="A33" s="37" t="s">
        <v>262</v>
      </c>
      <c r="B33" s="39"/>
      <c r="C33" s="40">
        <v>1</v>
      </c>
      <c r="D33" s="40">
        <v>1</v>
      </c>
      <c r="E33" s="40">
        <v>1</v>
      </c>
      <c r="F33" s="40">
        <v>1</v>
      </c>
      <c r="G33" s="35">
        <v>1</v>
      </c>
      <c r="H33" s="35">
        <v>1</v>
      </c>
      <c r="I33" s="35">
        <v>1</v>
      </c>
      <c r="J33" s="35">
        <v>1</v>
      </c>
      <c r="K33" s="35">
        <v>1</v>
      </c>
      <c r="L33" s="35">
        <v>1</v>
      </c>
      <c r="M33" s="35">
        <v>1</v>
      </c>
      <c r="N33" s="35">
        <v>1</v>
      </c>
      <c r="O33" s="35">
        <v>1</v>
      </c>
      <c r="P33" s="35">
        <v>1</v>
      </c>
      <c r="Q33" s="35">
        <v>1</v>
      </c>
      <c r="R33" s="35">
        <v>1</v>
      </c>
      <c r="S33" s="35">
        <v>1</v>
      </c>
      <c r="T33" s="35">
        <v>1</v>
      </c>
      <c r="U33" s="35">
        <v>1</v>
      </c>
      <c r="V33" s="35">
        <v>1</v>
      </c>
      <c r="W33" s="35">
        <v>1</v>
      </c>
      <c r="X33" s="35">
        <v>1</v>
      </c>
      <c r="Y33" s="35">
        <v>0</v>
      </c>
      <c r="Z33" s="35">
        <v>1</v>
      </c>
      <c r="AA33" s="35">
        <v>1</v>
      </c>
      <c r="AB33" s="35">
        <v>1</v>
      </c>
      <c r="AC33" s="35">
        <v>1</v>
      </c>
      <c r="AD33" s="35">
        <v>0</v>
      </c>
      <c r="AE33" s="35">
        <v>1</v>
      </c>
      <c r="AF33" s="35">
        <v>1</v>
      </c>
      <c r="AG33" s="35">
        <v>1</v>
      </c>
      <c r="AH33" s="35">
        <f t="shared" si="0"/>
        <v>29</v>
      </c>
      <c r="AI33" s="35">
        <f t="shared" si="1"/>
        <v>1740</v>
      </c>
    </row>
    <row r="34" spans="1:36" ht="21" x14ac:dyDescent="0.5">
      <c r="A34" s="37" t="s">
        <v>263</v>
      </c>
      <c r="B34" s="39"/>
      <c r="C34" s="40">
        <v>2</v>
      </c>
      <c r="D34" s="40">
        <v>0</v>
      </c>
      <c r="E34" s="40">
        <v>0</v>
      </c>
      <c r="F34" s="40">
        <v>2</v>
      </c>
      <c r="G34" s="35">
        <v>0</v>
      </c>
      <c r="H34" s="35">
        <v>2</v>
      </c>
      <c r="I34" s="35">
        <v>0</v>
      </c>
      <c r="J34" s="35">
        <v>2</v>
      </c>
      <c r="K34" s="35">
        <v>0</v>
      </c>
      <c r="L34" s="35">
        <v>2</v>
      </c>
      <c r="M34" s="35">
        <v>0</v>
      </c>
      <c r="N34" s="35">
        <v>2</v>
      </c>
      <c r="O34" s="35">
        <v>0</v>
      </c>
      <c r="P34" s="35">
        <v>2</v>
      </c>
      <c r="Q34" s="35">
        <v>0</v>
      </c>
      <c r="R34" s="35">
        <v>1</v>
      </c>
      <c r="S34" s="35">
        <v>2</v>
      </c>
      <c r="T34" s="35">
        <v>0</v>
      </c>
      <c r="U34" s="35">
        <v>1</v>
      </c>
      <c r="V34" s="35">
        <v>1</v>
      </c>
      <c r="W34" s="35">
        <v>0</v>
      </c>
      <c r="X34" s="35">
        <v>0</v>
      </c>
      <c r="Y34" s="35">
        <v>2</v>
      </c>
      <c r="Z34" s="35">
        <v>0</v>
      </c>
      <c r="AA34" s="35">
        <v>1</v>
      </c>
      <c r="AB34" s="35">
        <v>0</v>
      </c>
      <c r="AC34" s="35">
        <v>2</v>
      </c>
      <c r="AD34" s="35">
        <v>0</v>
      </c>
      <c r="AE34" s="35">
        <v>2</v>
      </c>
      <c r="AF34" s="35">
        <v>0</v>
      </c>
      <c r="AG34" s="35">
        <v>2</v>
      </c>
      <c r="AH34" s="35">
        <f t="shared" si="0"/>
        <v>28</v>
      </c>
      <c r="AI34" s="35">
        <f t="shared" si="1"/>
        <v>1680</v>
      </c>
    </row>
    <row r="35" spans="1:36" ht="21" x14ac:dyDescent="0.5">
      <c r="A35" s="37" t="s">
        <v>264</v>
      </c>
      <c r="B35" s="39"/>
      <c r="C35" s="40">
        <v>2</v>
      </c>
      <c r="D35" s="40">
        <v>0</v>
      </c>
      <c r="E35" s="40">
        <v>0</v>
      </c>
      <c r="F35" s="40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f t="shared" si="0"/>
        <v>2</v>
      </c>
      <c r="AI35" s="35">
        <f t="shared" si="1"/>
        <v>120</v>
      </c>
    </row>
    <row r="36" spans="1:36" ht="21" x14ac:dyDescent="0.5">
      <c r="A36" s="37" t="s">
        <v>265</v>
      </c>
      <c r="B36" s="39"/>
      <c r="C36" s="40">
        <v>0</v>
      </c>
      <c r="D36" s="40">
        <v>0</v>
      </c>
      <c r="E36" s="40">
        <v>0</v>
      </c>
      <c r="F36" s="40">
        <v>4</v>
      </c>
      <c r="G36" s="35">
        <v>0</v>
      </c>
      <c r="H36" s="35">
        <v>0</v>
      </c>
      <c r="I36" s="35">
        <v>0</v>
      </c>
      <c r="J36" s="35">
        <v>3</v>
      </c>
      <c r="K36" s="35">
        <v>0</v>
      </c>
      <c r="L36" s="35">
        <v>4</v>
      </c>
      <c r="M36" s="35">
        <v>0</v>
      </c>
      <c r="N36" s="35">
        <v>0</v>
      </c>
      <c r="O36" s="35">
        <v>5</v>
      </c>
      <c r="P36" s="35">
        <v>0</v>
      </c>
      <c r="Q36" s="35">
        <v>0</v>
      </c>
      <c r="R36" s="35">
        <v>0</v>
      </c>
      <c r="S36" s="35">
        <v>4</v>
      </c>
      <c r="T36" s="35">
        <v>0</v>
      </c>
      <c r="U36" s="35">
        <v>0</v>
      </c>
      <c r="V36" s="35">
        <v>0</v>
      </c>
      <c r="W36" s="35">
        <v>0</v>
      </c>
      <c r="X36" s="35">
        <v>4</v>
      </c>
      <c r="Y36" s="35">
        <v>0</v>
      </c>
      <c r="Z36" s="35">
        <v>0</v>
      </c>
      <c r="AA36" s="35">
        <v>4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f t="shared" si="0"/>
        <v>28</v>
      </c>
      <c r="AI36" s="35">
        <f t="shared" si="1"/>
        <v>1680</v>
      </c>
    </row>
    <row r="37" spans="1:36" ht="21" x14ac:dyDescent="0.5">
      <c r="A37" s="37" t="s">
        <v>266</v>
      </c>
      <c r="B37" s="39"/>
      <c r="C37" s="40">
        <v>1</v>
      </c>
      <c r="D37" s="40">
        <v>1</v>
      </c>
      <c r="E37" s="40">
        <v>0</v>
      </c>
      <c r="F37" s="40">
        <v>1</v>
      </c>
      <c r="G37" s="35">
        <v>0</v>
      </c>
      <c r="H37" s="40">
        <v>0</v>
      </c>
      <c r="I37" s="40">
        <v>0</v>
      </c>
      <c r="J37" s="40">
        <v>1</v>
      </c>
      <c r="K37" s="35">
        <v>1</v>
      </c>
      <c r="L37" s="35">
        <v>1</v>
      </c>
      <c r="M37" s="35">
        <v>1</v>
      </c>
      <c r="N37" s="35">
        <v>1</v>
      </c>
      <c r="O37" s="35">
        <v>0</v>
      </c>
      <c r="P37" s="35">
        <v>0</v>
      </c>
      <c r="Q37" s="35">
        <v>1</v>
      </c>
      <c r="R37" s="35">
        <v>1</v>
      </c>
      <c r="S37" s="35">
        <v>0</v>
      </c>
      <c r="T37" s="35">
        <v>1</v>
      </c>
      <c r="U37" s="35">
        <v>1</v>
      </c>
      <c r="V37" s="35">
        <v>0</v>
      </c>
      <c r="W37" s="35">
        <v>0</v>
      </c>
      <c r="X37" s="35">
        <v>1</v>
      </c>
      <c r="Y37" s="35">
        <v>0</v>
      </c>
      <c r="Z37" s="35">
        <v>1</v>
      </c>
      <c r="AA37" s="35">
        <v>1</v>
      </c>
      <c r="AB37" s="35">
        <v>0</v>
      </c>
      <c r="AC37" s="35">
        <v>0</v>
      </c>
      <c r="AD37" s="35">
        <v>0</v>
      </c>
      <c r="AE37" s="35">
        <v>1</v>
      </c>
      <c r="AF37" s="35">
        <v>1</v>
      </c>
      <c r="AG37" s="35">
        <v>1</v>
      </c>
      <c r="AH37" s="35">
        <f t="shared" si="0"/>
        <v>18</v>
      </c>
      <c r="AI37" s="35">
        <f t="shared" si="1"/>
        <v>1080</v>
      </c>
    </row>
    <row r="38" spans="1:36" ht="21" x14ac:dyDescent="0.5">
      <c r="A38" s="37" t="s">
        <v>267</v>
      </c>
      <c r="B38" s="39"/>
      <c r="C38" s="40">
        <v>1</v>
      </c>
      <c r="D38" s="40">
        <v>1</v>
      </c>
      <c r="E38" s="40">
        <v>1</v>
      </c>
      <c r="F38" s="40">
        <v>1</v>
      </c>
      <c r="G38" s="35">
        <v>1</v>
      </c>
      <c r="H38" s="35">
        <v>1</v>
      </c>
      <c r="I38" s="35">
        <v>1</v>
      </c>
      <c r="J38" s="35">
        <v>1</v>
      </c>
      <c r="K38" s="35">
        <v>1</v>
      </c>
      <c r="L38" s="35">
        <v>1</v>
      </c>
      <c r="M38" s="35">
        <v>1</v>
      </c>
      <c r="N38" s="35">
        <v>1</v>
      </c>
      <c r="O38" s="35">
        <v>1</v>
      </c>
      <c r="P38" s="35">
        <v>1</v>
      </c>
      <c r="Q38" s="35">
        <v>1</v>
      </c>
      <c r="R38" s="35">
        <v>1</v>
      </c>
      <c r="S38" s="35">
        <v>1</v>
      </c>
      <c r="T38" s="35">
        <v>1</v>
      </c>
      <c r="U38" s="35">
        <v>1</v>
      </c>
      <c r="V38" s="35">
        <v>1</v>
      </c>
      <c r="W38" s="35">
        <v>1</v>
      </c>
      <c r="X38" s="35">
        <v>1</v>
      </c>
      <c r="Y38" s="35">
        <v>1</v>
      </c>
      <c r="Z38" s="35">
        <v>1</v>
      </c>
      <c r="AA38" s="35">
        <v>1</v>
      </c>
      <c r="AB38" s="35">
        <v>1</v>
      </c>
      <c r="AC38" s="35">
        <v>1</v>
      </c>
      <c r="AD38" s="35">
        <v>1</v>
      </c>
      <c r="AE38" s="35">
        <v>1</v>
      </c>
      <c r="AF38" s="35">
        <v>1</v>
      </c>
      <c r="AG38" s="35">
        <v>1</v>
      </c>
      <c r="AH38" s="35">
        <f t="shared" si="0"/>
        <v>31</v>
      </c>
      <c r="AI38" s="35">
        <f t="shared" si="1"/>
        <v>1860</v>
      </c>
    </row>
    <row r="39" spans="1:36" ht="21" x14ac:dyDescent="0.5">
      <c r="A39" s="42" t="s">
        <v>268</v>
      </c>
      <c r="B39" s="39"/>
      <c r="C39" s="35">
        <v>0</v>
      </c>
      <c r="D39" s="35">
        <v>0</v>
      </c>
      <c r="E39" s="35">
        <v>0</v>
      </c>
      <c r="F39" s="35">
        <v>4</v>
      </c>
      <c r="G39" s="35">
        <v>0</v>
      </c>
      <c r="H39" s="35">
        <v>0</v>
      </c>
      <c r="I39" s="35">
        <v>0</v>
      </c>
      <c r="J39" s="35">
        <v>3</v>
      </c>
      <c r="K39" s="35">
        <v>0</v>
      </c>
      <c r="L39" s="35">
        <v>0</v>
      </c>
      <c r="M39" s="35">
        <v>0</v>
      </c>
      <c r="N39" s="35">
        <v>4</v>
      </c>
      <c r="O39" s="35">
        <v>0</v>
      </c>
      <c r="P39" s="35">
        <v>0</v>
      </c>
      <c r="Q39" s="35">
        <v>0</v>
      </c>
      <c r="R39" s="35">
        <v>0</v>
      </c>
      <c r="S39" s="35">
        <v>2</v>
      </c>
      <c r="T39" s="35">
        <v>0</v>
      </c>
      <c r="U39" s="35">
        <v>0</v>
      </c>
      <c r="V39" s="35">
        <v>0</v>
      </c>
      <c r="W39" s="35">
        <v>0</v>
      </c>
      <c r="X39" s="35">
        <v>4</v>
      </c>
      <c r="Y39" s="35">
        <v>0</v>
      </c>
      <c r="Z39" s="35">
        <v>0</v>
      </c>
      <c r="AA39" s="35">
        <v>0</v>
      </c>
      <c r="AB39" s="35">
        <v>0</v>
      </c>
      <c r="AC39" s="35">
        <v>0</v>
      </c>
      <c r="AD39" s="35">
        <v>2</v>
      </c>
      <c r="AE39" s="35">
        <v>0</v>
      </c>
      <c r="AF39" s="35">
        <v>0</v>
      </c>
      <c r="AG39" s="35">
        <v>0</v>
      </c>
      <c r="AH39" s="35">
        <f t="shared" si="0"/>
        <v>19</v>
      </c>
      <c r="AI39" s="35">
        <f t="shared" si="1"/>
        <v>1140</v>
      </c>
    </row>
    <row r="40" spans="1:36" ht="21" x14ac:dyDescent="0.5">
      <c r="A40" s="42" t="s">
        <v>269</v>
      </c>
      <c r="B40" s="39"/>
      <c r="C40" s="35">
        <v>0</v>
      </c>
      <c r="D40" s="40">
        <v>0</v>
      </c>
      <c r="E40" s="40">
        <v>5</v>
      </c>
      <c r="F40" s="40">
        <v>0</v>
      </c>
      <c r="G40" s="35">
        <v>0</v>
      </c>
      <c r="H40" s="35">
        <v>4</v>
      </c>
      <c r="I40" s="35">
        <v>0</v>
      </c>
      <c r="J40" s="35">
        <v>0</v>
      </c>
      <c r="K40" s="35">
        <v>5</v>
      </c>
      <c r="L40" s="35">
        <v>0</v>
      </c>
      <c r="M40" s="35">
        <v>0</v>
      </c>
      <c r="N40" s="35">
        <v>5</v>
      </c>
      <c r="O40" s="35">
        <v>0</v>
      </c>
      <c r="P40" s="35">
        <v>0</v>
      </c>
      <c r="Q40" s="35">
        <v>5</v>
      </c>
      <c r="R40" s="35">
        <v>0</v>
      </c>
      <c r="S40" s="35">
        <v>0</v>
      </c>
      <c r="T40" s="35">
        <v>4</v>
      </c>
      <c r="U40" s="35">
        <v>0</v>
      </c>
      <c r="V40" s="35">
        <v>0</v>
      </c>
      <c r="W40" s="35">
        <v>0</v>
      </c>
      <c r="X40" s="35">
        <v>5</v>
      </c>
      <c r="Y40" s="35">
        <v>0</v>
      </c>
      <c r="Z40" s="35">
        <v>0</v>
      </c>
      <c r="AA40" s="35">
        <v>0</v>
      </c>
      <c r="AB40" s="35">
        <v>5</v>
      </c>
      <c r="AC40" s="35">
        <v>0</v>
      </c>
      <c r="AD40" s="35">
        <v>0</v>
      </c>
      <c r="AE40" s="35">
        <v>0</v>
      </c>
      <c r="AF40" s="35">
        <v>0</v>
      </c>
      <c r="AG40" s="35">
        <v>3</v>
      </c>
      <c r="AH40" s="35">
        <f t="shared" si="0"/>
        <v>41</v>
      </c>
      <c r="AI40" s="35">
        <f t="shared" si="1"/>
        <v>2460</v>
      </c>
    </row>
    <row r="41" spans="1:36" ht="21" x14ac:dyDescent="0.5">
      <c r="A41" s="42" t="s">
        <v>270</v>
      </c>
      <c r="B41" s="39"/>
      <c r="C41" s="35">
        <v>2</v>
      </c>
      <c r="D41" s="40">
        <v>0</v>
      </c>
      <c r="E41" s="40">
        <v>0</v>
      </c>
      <c r="F41" s="40">
        <v>0</v>
      </c>
      <c r="G41" s="35">
        <v>0</v>
      </c>
      <c r="H41" s="35">
        <v>2</v>
      </c>
      <c r="I41" s="35">
        <v>0</v>
      </c>
      <c r="J41" s="35">
        <v>0</v>
      </c>
      <c r="K41" s="35">
        <v>2</v>
      </c>
      <c r="L41" s="35">
        <v>0</v>
      </c>
      <c r="M41" s="35">
        <v>0</v>
      </c>
      <c r="N41" s="35">
        <v>2</v>
      </c>
      <c r="O41" s="35">
        <v>0</v>
      </c>
      <c r="P41" s="35">
        <v>0</v>
      </c>
      <c r="Q41" s="35">
        <v>2</v>
      </c>
      <c r="R41" s="35">
        <v>0</v>
      </c>
      <c r="S41" s="35">
        <v>0</v>
      </c>
      <c r="T41" s="35">
        <v>2</v>
      </c>
      <c r="U41" s="35">
        <v>0</v>
      </c>
      <c r="V41" s="35">
        <v>2</v>
      </c>
      <c r="W41" s="35">
        <v>0</v>
      </c>
      <c r="X41" s="35">
        <v>0</v>
      </c>
      <c r="Y41" s="35">
        <v>2</v>
      </c>
      <c r="Z41" s="35">
        <v>0</v>
      </c>
      <c r="AA41" s="35">
        <v>0</v>
      </c>
      <c r="AB41" s="35">
        <v>2</v>
      </c>
      <c r="AC41" s="35">
        <v>0</v>
      </c>
      <c r="AD41" s="35">
        <v>0</v>
      </c>
      <c r="AE41" s="35">
        <v>0</v>
      </c>
      <c r="AF41" s="35">
        <v>2</v>
      </c>
      <c r="AG41" s="35">
        <v>0</v>
      </c>
      <c r="AH41" s="35">
        <f t="shared" si="0"/>
        <v>20</v>
      </c>
      <c r="AI41" s="35">
        <f t="shared" si="1"/>
        <v>1200</v>
      </c>
    </row>
    <row r="42" spans="1:36" ht="21" x14ac:dyDescent="0.5">
      <c r="A42" s="42" t="s">
        <v>271</v>
      </c>
      <c r="B42" s="39"/>
      <c r="C42" s="35">
        <v>0</v>
      </c>
      <c r="D42" s="40">
        <v>1</v>
      </c>
      <c r="E42" s="40">
        <v>0</v>
      </c>
      <c r="F42" s="40">
        <v>1</v>
      </c>
      <c r="G42" s="35">
        <v>0</v>
      </c>
      <c r="H42" s="35">
        <v>1</v>
      </c>
      <c r="I42" s="35">
        <v>0</v>
      </c>
      <c r="J42" s="35">
        <v>1</v>
      </c>
      <c r="K42" s="35">
        <v>0</v>
      </c>
      <c r="L42" s="35">
        <v>1</v>
      </c>
      <c r="M42" s="35">
        <v>0</v>
      </c>
      <c r="N42" s="35">
        <v>1</v>
      </c>
      <c r="O42" s="35">
        <v>0</v>
      </c>
      <c r="P42" s="35">
        <v>0</v>
      </c>
      <c r="Q42" s="35">
        <v>1</v>
      </c>
      <c r="R42" s="35">
        <v>0</v>
      </c>
      <c r="S42" s="35">
        <v>1</v>
      </c>
      <c r="T42" s="35">
        <v>0</v>
      </c>
      <c r="U42" s="35">
        <v>0</v>
      </c>
      <c r="V42" s="35">
        <v>0</v>
      </c>
      <c r="W42" s="35">
        <v>1</v>
      </c>
      <c r="X42" s="35">
        <v>0</v>
      </c>
      <c r="Y42" s="35">
        <v>0</v>
      </c>
      <c r="Z42" s="35">
        <v>1</v>
      </c>
      <c r="AA42" s="35">
        <v>1</v>
      </c>
      <c r="AB42" s="35">
        <v>0</v>
      </c>
      <c r="AC42" s="35">
        <v>1</v>
      </c>
      <c r="AD42" s="35">
        <v>0</v>
      </c>
      <c r="AE42" s="35">
        <v>0</v>
      </c>
      <c r="AF42" s="35">
        <v>0</v>
      </c>
      <c r="AG42" s="35">
        <v>1</v>
      </c>
      <c r="AH42" s="35">
        <f t="shared" si="0"/>
        <v>13</v>
      </c>
      <c r="AI42" s="35">
        <f t="shared" si="1"/>
        <v>780</v>
      </c>
    </row>
    <row r="43" spans="1:36" ht="21" x14ac:dyDescent="0.5">
      <c r="A43" s="42" t="s">
        <v>272</v>
      </c>
      <c r="B43" s="39"/>
      <c r="C43" s="35">
        <v>0</v>
      </c>
      <c r="D43" s="40">
        <v>0</v>
      </c>
      <c r="E43" s="40">
        <v>0</v>
      </c>
      <c r="F43" s="40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3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f t="shared" si="0"/>
        <v>3</v>
      </c>
      <c r="AI43" s="35">
        <f t="shared" si="1"/>
        <v>180</v>
      </c>
    </row>
    <row r="44" spans="1:36" ht="21" x14ac:dyDescent="0.5">
      <c r="A44" s="42" t="s">
        <v>273</v>
      </c>
      <c r="B44" s="39"/>
      <c r="C44" s="35">
        <v>1</v>
      </c>
      <c r="D44" s="40">
        <v>1</v>
      </c>
      <c r="E44" s="40">
        <v>1</v>
      </c>
      <c r="F44" s="40">
        <v>1</v>
      </c>
      <c r="G44" s="35">
        <v>1</v>
      </c>
      <c r="H44" s="35">
        <v>1</v>
      </c>
      <c r="I44" s="35">
        <v>1</v>
      </c>
      <c r="J44" s="35">
        <v>1</v>
      </c>
      <c r="K44" s="35">
        <v>0</v>
      </c>
      <c r="L44" s="35">
        <v>1</v>
      </c>
      <c r="M44" s="35">
        <v>0</v>
      </c>
      <c r="N44" s="35">
        <v>1</v>
      </c>
      <c r="O44" s="35">
        <v>1</v>
      </c>
      <c r="P44" s="35">
        <v>1</v>
      </c>
      <c r="Q44" s="35">
        <v>0</v>
      </c>
      <c r="R44" s="35">
        <v>0</v>
      </c>
      <c r="S44" s="35">
        <v>0</v>
      </c>
      <c r="T44" s="35">
        <v>1</v>
      </c>
      <c r="U44" s="35">
        <v>1</v>
      </c>
      <c r="V44" s="35">
        <v>1</v>
      </c>
      <c r="W44" s="35">
        <v>1</v>
      </c>
      <c r="X44" s="35">
        <v>1</v>
      </c>
      <c r="Y44" s="35">
        <v>0</v>
      </c>
      <c r="Z44" s="35">
        <v>0</v>
      </c>
      <c r="AA44" s="35">
        <v>1</v>
      </c>
      <c r="AB44" s="35">
        <v>0</v>
      </c>
      <c r="AC44" s="35">
        <v>1</v>
      </c>
      <c r="AD44" s="35">
        <v>0</v>
      </c>
      <c r="AE44" s="35">
        <v>1</v>
      </c>
      <c r="AF44" s="35">
        <v>1</v>
      </c>
      <c r="AG44" s="35">
        <v>0</v>
      </c>
      <c r="AH44" s="35">
        <f t="shared" si="0"/>
        <v>21</v>
      </c>
      <c r="AI44" s="35">
        <f t="shared" si="1"/>
        <v>1260</v>
      </c>
    </row>
    <row r="45" spans="1:36" ht="21" x14ac:dyDescent="0.5">
      <c r="A45" s="42" t="s">
        <v>274</v>
      </c>
      <c r="B45" s="39"/>
      <c r="C45" s="35">
        <v>0</v>
      </c>
      <c r="D45" s="40">
        <v>0</v>
      </c>
      <c r="E45" s="40">
        <v>0</v>
      </c>
      <c r="F45" s="40">
        <v>1</v>
      </c>
      <c r="G45" s="35">
        <v>0</v>
      </c>
      <c r="H45" s="35">
        <v>0</v>
      </c>
      <c r="I45" s="35">
        <v>0</v>
      </c>
      <c r="J45" s="35">
        <v>1</v>
      </c>
      <c r="K45" s="35">
        <v>0</v>
      </c>
      <c r="L45" s="35">
        <v>0</v>
      </c>
      <c r="M45" s="35">
        <v>1</v>
      </c>
      <c r="N45" s="35">
        <v>0</v>
      </c>
      <c r="O45" s="35">
        <v>0</v>
      </c>
      <c r="P45" s="35">
        <v>0</v>
      </c>
      <c r="Q45" s="35">
        <v>1</v>
      </c>
      <c r="R45" s="35">
        <v>0</v>
      </c>
      <c r="S45" s="35">
        <v>1</v>
      </c>
      <c r="T45" s="35">
        <v>0</v>
      </c>
      <c r="U45" s="35">
        <v>0</v>
      </c>
      <c r="V45" s="35">
        <v>1</v>
      </c>
      <c r="W45" s="35">
        <v>0</v>
      </c>
      <c r="X45" s="35">
        <v>0</v>
      </c>
      <c r="Y45" s="35">
        <v>0</v>
      </c>
      <c r="Z45" s="35">
        <v>0</v>
      </c>
      <c r="AA45" s="35">
        <v>1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f t="shared" si="0"/>
        <v>7</v>
      </c>
      <c r="AI45" s="35">
        <f t="shared" si="1"/>
        <v>420</v>
      </c>
    </row>
    <row r="46" spans="1:36" ht="21" x14ac:dyDescent="0.5">
      <c r="A46" s="42" t="s">
        <v>275</v>
      </c>
      <c r="B46" s="39"/>
      <c r="C46" s="35">
        <v>0</v>
      </c>
      <c r="D46" s="40">
        <v>0</v>
      </c>
      <c r="E46" s="40">
        <v>0</v>
      </c>
      <c r="F46" s="40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4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0</v>
      </c>
      <c r="X46" s="35">
        <v>0</v>
      </c>
      <c r="Y46" s="35">
        <v>0</v>
      </c>
      <c r="Z46" s="35">
        <v>0</v>
      </c>
      <c r="AA46" s="35">
        <v>0</v>
      </c>
      <c r="AB46" s="35">
        <v>0</v>
      </c>
      <c r="AC46" s="35">
        <v>0</v>
      </c>
      <c r="AD46" s="35">
        <v>0</v>
      </c>
      <c r="AE46" s="35">
        <v>0</v>
      </c>
      <c r="AF46" s="35">
        <v>0</v>
      </c>
      <c r="AG46" s="35">
        <v>0</v>
      </c>
      <c r="AH46" s="35">
        <f t="shared" si="0"/>
        <v>4</v>
      </c>
      <c r="AI46" s="35">
        <f t="shared" si="1"/>
        <v>240</v>
      </c>
      <c r="AJ46" t="s">
        <v>284</v>
      </c>
    </row>
    <row r="47" spans="1:36" ht="21" x14ac:dyDescent="0.5">
      <c r="A47" s="42" t="s">
        <v>276</v>
      </c>
      <c r="B47" s="39"/>
      <c r="C47" s="35">
        <v>0</v>
      </c>
      <c r="D47" s="40">
        <v>1</v>
      </c>
      <c r="E47" s="40">
        <v>0</v>
      </c>
      <c r="F47" s="40">
        <v>1</v>
      </c>
      <c r="G47" s="35">
        <v>0</v>
      </c>
      <c r="H47" s="35">
        <v>0</v>
      </c>
      <c r="I47" s="35">
        <v>1</v>
      </c>
      <c r="J47" s="35">
        <v>0</v>
      </c>
      <c r="K47" s="35">
        <v>1</v>
      </c>
      <c r="L47" s="35">
        <v>0</v>
      </c>
      <c r="M47" s="35">
        <v>0</v>
      </c>
      <c r="N47" s="35">
        <v>0</v>
      </c>
      <c r="O47" s="35">
        <v>1</v>
      </c>
      <c r="P47" s="35">
        <v>0</v>
      </c>
      <c r="Q47" s="35">
        <v>1</v>
      </c>
      <c r="R47" s="35">
        <v>0</v>
      </c>
      <c r="S47" s="35">
        <v>1</v>
      </c>
      <c r="T47" s="35">
        <v>0</v>
      </c>
      <c r="U47" s="35">
        <v>0</v>
      </c>
      <c r="V47" s="35">
        <v>0</v>
      </c>
      <c r="W47" s="35">
        <v>1</v>
      </c>
      <c r="X47" s="35">
        <v>0</v>
      </c>
      <c r="Y47" s="35">
        <v>1</v>
      </c>
      <c r="Z47" s="35">
        <v>0</v>
      </c>
      <c r="AA47" s="35">
        <v>1</v>
      </c>
      <c r="AB47" s="35">
        <v>0</v>
      </c>
      <c r="AC47" s="35">
        <v>1</v>
      </c>
      <c r="AD47" s="35">
        <v>0</v>
      </c>
      <c r="AE47" s="35">
        <v>1</v>
      </c>
      <c r="AF47" s="35">
        <v>0</v>
      </c>
      <c r="AG47" s="35">
        <v>1</v>
      </c>
      <c r="AH47" s="35">
        <f t="shared" si="0"/>
        <v>13</v>
      </c>
      <c r="AI47" s="35">
        <f t="shared" si="1"/>
        <v>780</v>
      </c>
    </row>
    <row r="48" spans="1:36" ht="21" x14ac:dyDescent="0.5">
      <c r="A48" s="42" t="s">
        <v>277</v>
      </c>
      <c r="B48" s="39"/>
      <c r="C48" s="35">
        <v>0</v>
      </c>
      <c r="D48" s="40">
        <v>0</v>
      </c>
      <c r="E48" s="40">
        <v>1</v>
      </c>
      <c r="F48" s="40">
        <v>0</v>
      </c>
      <c r="G48" s="35">
        <v>0</v>
      </c>
      <c r="H48" s="35">
        <v>0</v>
      </c>
      <c r="I48" s="35">
        <v>0</v>
      </c>
      <c r="J48" s="35">
        <v>1</v>
      </c>
      <c r="K48" s="35">
        <v>0</v>
      </c>
      <c r="L48" s="35">
        <v>0</v>
      </c>
      <c r="M48" s="35">
        <v>1</v>
      </c>
      <c r="N48" s="35">
        <v>1</v>
      </c>
      <c r="O48" s="35">
        <v>0</v>
      </c>
      <c r="P48" s="35">
        <v>1</v>
      </c>
      <c r="Q48" s="35">
        <v>0</v>
      </c>
      <c r="R48" s="35">
        <v>1</v>
      </c>
      <c r="S48" s="35">
        <v>0</v>
      </c>
      <c r="T48" s="35">
        <v>0</v>
      </c>
      <c r="U48" s="35">
        <v>0</v>
      </c>
      <c r="V48" s="35">
        <v>1</v>
      </c>
      <c r="W48" s="35">
        <v>0</v>
      </c>
      <c r="X48" s="35">
        <v>1</v>
      </c>
      <c r="Y48" s="35">
        <v>0</v>
      </c>
      <c r="Z48" s="35">
        <v>0</v>
      </c>
      <c r="AA48" s="35">
        <v>1</v>
      </c>
      <c r="AB48" s="35">
        <v>0</v>
      </c>
      <c r="AC48" s="35">
        <v>0</v>
      </c>
      <c r="AD48" s="35">
        <v>1</v>
      </c>
      <c r="AE48" s="35">
        <v>0</v>
      </c>
      <c r="AF48" s="35">
        <v>2</v>
      </c>
      <c r="AG48" s="35">
        <v>1</v>
      </c>
      <c r="AH48" s="35">
        <f t="shared" si="0"/>
        <v>13</v>
      </c>
      <c r="AI48" s="35">
        <f>50*AH48</f>
        <v>650</v>
      </c>
    </row>
    <row r="49" spans="1:35" ht="21" x14ac:dyDescent="0.5">
      <c r="A49" s="42" t="s">
        <v>278</v>
      </c>
      <c r="B49" s="39"/>
      <c r="C49" s="35">
        <v>0</v>
      </c>
      <c r="D49" s="40">
        <v>1</v>
      </c>
      <c r="E49" s="40">
        <v>1</v>
      </c>
      <c r="F49" s="40">
        <v>1</v>
      </c>
      <c r="G49" s="35">
        <v>1</v>
      </c>
      <c r="H49" s="35">
        <v>1</v>
      </c>
      <c r="I49" s="35">
        <v>1</v>
      </c>
      <c r="J49" s="35">
        <v>1</v>
      </c>
      <c r="K49" s="35">
        <v>1</v>
      </c>
      <c r="L49" s="35">
        <v>1</v>
      </c>
      <c r="M49" s="35">
        <v>1</v>
      </c>
      <c r="N49" s="35">
        <v>1</v>
      </c>
      <c r="O49" s="35">
        <v>1</v>
      </c>
      <c r="P49" s="35">
        <v>1</v>
      </c>
      <c r="Q49" s="35">
        <v>1</v>
      </c>
      <c r="R49" s="35">
        <v>0</v>
      </c>
      <c r="S49" s="35">
        <v>1</v>
      </c>
      <c r="T49" s="35">
        <v>1</v>
      </c>
      <c r="U49" s="35">
        <v>1</v>
      </c>
      <c r="V49" s="35">
        <v>1</v>
      </c>
      <c r="W49" s="35">
        <v>1</v>
      </c>
      <c r="X49" s="35">
        <v>1</v>
      </c>
      <c r="Y49" s="35">
        <v>1</v>
      </c>
      <c r="Z49" s="35">
        <v>1</v>
      </c>
      <c r="AA49" s="35">
        <v>1</v>
      </c>
      <c r="AB49" s="35">
        <v>1</v>
      </c>
      <c r="AC49" s="35">
        <v>1</v>
      </c>
      <c r="AD49" s="35">
        <v>1</v>
      </c>
      <c r="AE49" s="35">
        <v>0</v>
      </c>
      <c r="AF49" s="35">
        <v>1</v>
      </c>
      <c r="AG49" s="35">
        <v>1</v>
      </c>
      <c r="AH49" s="35">
        <f t="shared" si="0"/>
        <v>28</v>
      </c>
      <c r="AI49" s="35">
        <f t="shared" si="1"/>
        <v>1680</v>
      </c>
    </row>
    <row r="50" spans="1:35" ht="21" x14ac:dyDescent="0.5">
      <c r="A50" s="42" t="s">
        <v>279</v>
      </c>
      <c r="C50" s="35">
        <v>1</v>
      </c>
      <c r="D50" s="40">
        <v>2</v>
      </c>
      <c r="E50" s="40">
        <v>1</v>
      </c>
      <c r="F50" s="40">
        <v>0</v>
      </c>
      <c r="G50" s="35">
        <v>1</v>
      </c>
      <c r="H50" s="35">
        <v>2</v>
      </c>
      <c r="I50" s="35">
        <v>0</v>
      </c>
      <c r="J50" s="35">
        <v>0</v>
      </c>
      <c r="K50" s="35">
        <v>1</v>
      </c>
      <c r="L50" s="35">
        <v>1</v>
      </c>
      <c r="M50" s="35">
        <v>0</v>
      </c>
      <c r="N50" s="35">
        <v>1</v>
      </c>
      <c r="O50" s="35">
        <v>1</v>
      </c>
      <c r="P50" s="35">
        <v>1</v>
      </c>
      <c r="Q50" s="35">
        <v>2</v>
      </c>
      <c r="R50" s="35">
        <v>1</v>
      </c>
      <c r="S50" s="35">
        <v>1</v>
      </c>
      <c r="T50" s="35">
        <v>1</v>
      </c>
      <c r="U50" s="35">
        <v>1</v>
      </c>
      <c r="V50" s="35">
        <v>2</v>
      </c>
      <c r="W50" s="35">
        <v>2</v>
      </c>
      <c r="X50" s="35">
        <v>2</v>
      </c>
      <c r="Y50" s="35">
        <v>2</v>
      </c>
      <c r="Z50" s="35">
        <v>2</v>
      </c>
      <c r="AA50" s="35">
        <v>1</v>
      </c>
      <c r="AB50" s="35">
        <v>0</v>
      </c>
      <c r="AC50" s="35">
        <v>1</v>
      </c>
      <c r="AD50" s="35">
        <v>1</v>
      </c>
      <c r="AE50" s="35">
        <v>1</v>
      </c>
      <c r="AF50" s="35">
        <v>1</v>
      </c>
      <c r="AG50" s="35">
        <v>1</v>
      </c>
      <c r="AH50" s="35">
        <f t="shared" si="0"/>
        <v>34</v>
      </c>
      <c r="AI50" s="35">
        <f t="shared" si="1"/>
        <v>2040</v>
      </c>
    </row>
    <row r="51" spans="1:35" ht="23.5" x14ac:dyDescent="0.55000000000000004">
      <c r="A51" s="45" t="s">
        <v>280</v>
      </c>
      <c r="C51" s="48">
        <v>0</v>
      </c>
      <c r="D51" s="16">
        <v>1</v>
      </c>
      <c r="E51" s="16">
        <v>0</v>
      </c>
      <c r="F51" s="16">
        <v>1</v>
      </c>
      <c r="G51" s="16">
        <v>0</v>
      </c>
      <c r="H51" s="16">
        <v>0</v>
      </c>
      <c r="I51" s="16">
        <v>1</v>
      </c>
      <c r="J51" s="15">
        <v>0</v>
      </c>
      <c r="K51" s="15">
        <v>1</v>
      </c>
      <c r="L51" s="15">
        <v>0</v>
      </c>
      <c r="M51" s="15">
        <v>1</v>
      </c>
      <c r="N51" s="15">
        <v>0</v>
      </c>
      <c r="O51" s="15">
        <v>1</v>
      </c>
      <c r="P51" s="15">
        <v>0</v>
      </c>
      <c r="Q51" s="15">
        <v>1</v>
      </c>
      <c r="R51" s="15">
        <v>0</v>
      </c>
      <c r="S51" s="15">
        <v>0</v>
      </c>
      <c r="T51" s="15">
        <v>1</v>
      </c>
      <c r="U51" s="15">
        <v>0</v>
      </c>
      <c r="V51" s="15">
        <v>1</v>
      </c>
      <c r="W51" s="15">
        <v>0</v>
      </c>
      <c r="X51" s="15">
        <v>1</v>
      </c>
      <c r="Y51" s="15">
        <v>0</v>
      </c>
      <c r="Z51" s="15">
        <v>1</v>
      </c>
      <c r="AA51" s="15">
        <v>0</v>
      </c>
      <c r="AB51" s="15">
        <v>1</v>
      </c>
      <c r="AC51" s="15">
        <v>0</v>
      </c>
      <c r="AD51" s="15">
        <v>1</v>
      </c>
      <c r="AE51" s="15">
        <v>0</v>
      </c>
      <c r="AF51" s="15">
        <v>1</v>
      </c>
      <c r="AG51" s="15">
        <v>0</v>
      </c>
      <c r="AH51" s="15">
        <f t="shared" si="0"/>
        <v>14</v>
      </c>
      <c r="AI51" s="15">
        <f t="shared" si="1"/>
        <v>840</v>
      </c>
    </row>
    <row r="52" spans="1:35" ht="23.5" x14ac:dyDescent="0.55000000000000004">
      <c r="A52" s="45" t="s">
        <v>281</v>
      </c>
      <c r="B52" s="39"/>
      <c r="C52" s="48">
        <v>1</v>
      </c>
      <c r="D52" s="16">
        <v>1</v>
      </c>
      <c r="E52" s="16">
        <v>0</v>
      </c>
      <c r="F52" s="16">
        <v>0</v>
      </c>
      <c r="G52" s="16">
        <v>1</v>
      </c>
      <c r="H52" s="16">
        <v>1</v>
      </c>
      <c r="I52" s="16">
        <v>1</v>
      </c>
      <c r="J52" s="15">
        <v>0</v>
      </c>
      <c r="K52" s="15">
        <v>1</v>
      </c>
      <c r="L52" s="15">
        <v>1</v>
      </c>
      <c r="M52" s="15">
        <v>1</v>
      </c>
      <c r="N52" s="15">
        <v>1</v>
      </c>
      <c r="O52" s="15">
        <v>1</v>
      </c>
      <c r="P52" s="15">
        <v>2</v>
      </c>
      <c r="Q52" s="15">
        <v>1</v>
      </c>
      <c r="R52" s="15">
        <v>1</v>
      </c>
      <c r="S52" s="15">
        <v>1</v>
      </c>
      <c r="T52" s="15">
        <v>1</v>
      </c>
      <c r="U52" s="15">
        <v>1</v>
      </c>
      <c r="V52" s="15">
        <v>0</v>
      </c>
      <c r="W52" s="15">
        <v>1</v>
      </c>
      <c r="X52" s="15">
        <v>1</v>
      </c>
      <c r="Y52" s="15">
        <v>1</v>
      </c>
      <c r="Z52" s="15">
        <v>1</v>
      </c>
      <c r="AA52" s="15">
        <v>0</v>
      </c>
      <c r="AB52" s="15">
        <v>1</v>
      </c>
      <c r="AC52" s="15">
        <v>1</v>
      </c>
      <c r="AD52" s="15">
        <v>1</v>
      </c>
      <c r="AE52" s="15">
        <v>0</v>
      </c>
      <c r="AF52" s="15">
        <v>0</v>
      </c>
      <c r="AG52" s="15">
        <v>0</v>
      </c>
    </row>
    <row r="53" spans="1:35" ht="23.5" x14ac:dyDescent="0.55000000000000004">
      <c r="A53" s="45" t="s">
        <v>282</v>
      </c>
      <c r="C53" s="48">
        <v>0</v>
      </c>
      <c r="D53" s="16">
        <v>0</v>
      </c>
      <c r="E53" s="16">
        <v>2</v>
      </c>
      <c r="F53" s="16">
        <v>2</v>
      </c>
      <c r="G53" s="16">
        <v>3</v>
      </c>
      <c r="H53" s="16">
        <v>0</v>
      </c>
      <c r="I53" s="16">
        <v>0</v>
      </c>
      <c r="J53" s="15">
        <v>1</v>
      </c>
      <c r="K53" s="15">
        <v>2</v>
      </c>
      <c r="L53" s="15">
        <v>2</v>
      </c>
      <c r="M53" s="15">
        <v>2</v>
      </c>
      <c r="N53" s="15">
        <v>3</v>
      </c>
      <c r="O53" s="15">
        <v>0</v>
      </c>
      <c r="P53" s="15">
        <v>0</v>
      </c>
      <c r="Q53" s="15">
        <v>2</v>
      </c>
      <c r="R53" s="15">
        <v>2</v>
      </c>
      <c r="S53" s="15">
        <v>2</v>
      </c>
      <c r="T53" s="15">
        <v>2</v>
      </c>
      <c r="U53" s="15">
        <v>3</v>
      </c>
      <c r="V53" s="15">
        <v>1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5" ht="18.5" x14ac:dyDescent="0.45">
      <c r="A54" s="15" t="s">
        <v>283</v>
      </c>
      <c r="C54" s="48">
        <v>1</v>
      </c>
      <c r="D54" s="48">
        <v>0</v>
      </c>
      <c r="E54" s="48">
        <v>1</v>
      </c>
      <c r="F54" s="48">
        <v>0</v>
      </c>
      <c r="G54" s="48">
        <v>1</v>
      </c>
      <c r="H54" s="48">
        <v>0</v>
      </c>
      <c r="I54" s="48">
        <v>1</v>
      </c>
      <c r="J54" s="15">
        <v>1</v>
      </c>
      <c r="K54" s="15">
        <v>1</v>
      </c>
      <c r="L54" s="15">
        <v>0</v>
      </c>
      <c r="M54" s="15">
        <v>1</v>
      </c>
      <c r="N54" s="15">
        <v>0</v>
      </c>
      <c r="O54" s="15">
        <v>1</v>
      </c>
      <c r="P54" s="15">
        <v>0</v>
      </c>
      <c r="Q54" s="15">
        <v>1</v>
      </c>
      <c r="R54" s="15">
        <v>0</v>
      </c>
      <c r="S54" s="15">
        <v>0</v>
      </c>
      <c r="T54" s="15">
        <v>0</v>
      </c>
      <c r="U54" s="15">
        <v>1</v>
      </c>
      <c r="V54" s="15">
        <v>0</v>
      </c>
      <c r="W54" s="15">
        <v>1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1</v>
      </c>
      <c r="AD54" s="15">
        <v>0</v>
      </c>
      <c r="AE54" s="15">
        <v>1</v>
      </c>
      <c r="AF54" s="15">
        <v>0</v>
      </c>
      <c r="AG54" s="15">
        <v>1</v>
      </c>
    </row>
  </sheetData>
  <mergeCells count="1">
    <mergeCell ref="A1:A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 26</vt:lpstr>
      <vt:lpstr>SEPEMBER</vt:lpstr>
      <vt:lpstr>BAKIA CUSTUMER</vt:lpstr>
      <vt:lpstr>OCTOBER</vt:lpstr>
      <vt:lpstr>NOVEMBER</vt:lpstr>
      <vt:lpstr>DEC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3TEE</dc:creator>
  <cp:lastModifiedBy>Muzamil Ali</cp:lastModifiedBy>
  <dcterms:created xsi:type="dcterms:W3CDTF">2025-08-23T03:50:04Z</dcterms:created>
  <dcterms:modified xsi:type="dcterms:W3CDTF">2026-03-08T13:50:12Z</dcterms:modified>
</cp:coreProperties>
</file>